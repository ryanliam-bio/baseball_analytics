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02"/>
  <workbookPr defaultThemeVersion="166925"/>
  <xr:revisionPtr revIDLastSave="1181" documentId="11_E60897F41BE170836B02CE998F75CCDC64E183C8" xr6:coauthVersionLast="47" xr6:coauthVersionMax="47" xr10:uidLastSave="{82D574C0-73B8-4B44-B864-005502157D9A}"/>
  <bookViews>
    <workbookView xWindow="240" yWindow="105" windowWidth="14805" windowHeight="8010" firstSheet="1" activeTab="1" xr2:uid="{00000000-000D-0000-FFFF-FFFF00000000}"/>
  </bookViews>
  <sheets>
    <sheet name="Guide" sheetId="1" r:id="rId1"/>
    <sheet name="Model" sheetId="5" r:id="rId2"/>
    <sheet name="Offensive Values" sheetId="2" r:id="rId3"/>
    <sheet name="Starting Pitchers" sheetId="4" r:id="rId4"/>
    <sheet name="Bullpen Values" sheetId="3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5" l="1"/>
  <c r="G40" i="5"/>
  <c r="E40" i="5"/>
  <c r="Q9" i="5"/>
  <c r="Q8" i="5"/>
  <c r="Q7" i="5"/>
  <c r="Q6" i="5"/>
  <c r="Q5" i="5"/>
  <c r="Q4" i="5"/>
  <c r="Q3" i="5"/>
  <c r="Q2" i="5"/>
  <c r="C35" i="5"/>
  <c r="A35" i="5"/>
  <c r="I27" i="5"/>
  <c r="I35" i="5"/>
  <c r="K35" i="5"/>
  <c r="G27" i="5"/>
  <c r="E27" i="5"/>
  <c r="C27" i="5"/>
  <c r="A27" i="5"/>
  <c r="I19" i="5"/>
  <c r="K19" i="5"/>
  <c r="G19" i="5"/>
  <c r="E19" i="5"/>
  <c r="C19" i="5"/>
  <c r="A19" i="5"/>
  <c r="K11" i="5"/>
  <c r="I11" i="5"/>
  <c r="G11" i="5"/>
  <c r="E11" i="5"/>
  <c r="C11" i="5"/>
  <c r="A11" i="5"/>
  <c r="K3" i="5"/>
  <c r="I3" i="5"/>
  <c r="G3" i="5"/>
  <c r="E3" i="5"/>
  <c r="C3" i="5"/>
  <c r="A3" i="5"/>
  <c r="L36" i="5"/>
  <c r="K36" i="5"/>
  <c r="I36" i="5"/>
  <c r="H36" i="5"/>
  <c r="G36" i="5"/>
  <c r="E36" i="5"/>
  <c r="D36" i="5"/>
  <c r="C36" i="5"/>
  <c r="A36" i="5"/>
  <c r="K37" i="5"/>
  <c r="I37" i="5"/>
  <c r="G35" i="5"/>
  <c r="G37" i="5" s="1"/>
  <c r="E35" i="5"/>
  <c r="E37" i="5" s="1"/>
  <c r="C37" i="5"/>
  <c r="A37" i="5"/>
  <c r="K34" i="5"/>
  <c r="K38" i="5" s="1"/>
  <c r="I34" i="5"/>
  <c r="I38" i="5" s="1"/>
  <c r="I39" i="5" s="1"/>
  <c r="G34" i="5"/>
  <c r="G38" i="5" s="1"/>
  <c r="E34" i="5"/>
  <c r="E38" i="5" s="1"/>
  <c r="C34" i="5"/>
  <c r="C38" i="5" s="1"/>
  <c r="A34" i="5"/>
  <c r="A38" i="5" s="1"/>
  <c r="A39" i="5" s="1"/>
  <c r="A40" i="5" s="1"/>
  <c r="L28" i="5"/>
  <c r="L20" i="5"/>
  <c r="L12" i="5"/>
  <c r="L4" i="5"/>
  <c r="H28" i="5"/>
  <c r="H20" i="5"/>
  <c r="H12" i="5"/>
  <c r="H4" i="5"/>
  <c r="D28" i="5"/>
  <c r="D20" i="5"/>
  <c r="D12" i="5"/>
  <c r="A11" i="1"/>
  <c r="D4" i="5"/>
  <c r="K27" i="5"/>
  <c r="A28" i="5"/>
  <c r="C28" i="5"/>
  <c r="E28" i="5"/>
  <c r="G28" i="5"/>
  <c r="I28" i="5"/>
  <c r="K28" i="5"/>
  <c r="K20" i="5"/>
  <c r="I20" i="5"/>
  <c r="G20" i="5"/>
  <c r="E20" i="5"/>
  <c r="C20" i="5"/>
  <c r="A20" i="5"/>
  <c r="A12" i="5"/>
  <c r="C12" i="5"/>
  <c r="E12" i="5"/>
  <c r="G12" i="5"/>
  <c r="I12" i="5"/>
  <c r="K12" i="5"/>
  <c r="K4" i="5"/>
  <c r="I4" i="5"/>
  <c r="G4" i="5"/>
  <c r="E4" i="5"/>
  <c r="C4" i="5"/>
  <c r="A4" i="5"/>
  <c r="A2" i="5"/>
  <c r="H2" i="3"/>
  <c r="E26" i="5"/>
  <c r="G26" i="5"/>
  <c r="I26" i="5"/>
  <c r="K26" i="5"/>
  <c r="K18" i="5"/>
  <c r="I18" i="5"/>
  <c r="G18" i="5"/>
  <c r="E18" i="5"/>
  <c r="E10" i="5"/>
  <c r="G10" i="5"/>
  <c r="I10" i="5"/>
  <c r="K10" i="5"/>
  <c r="K2" i="5"/>
  <c r="I2" i="5"/>
  <c r="G2" i="5"/>
  <c r="E2" i="5"/>
  <c r="C26" i="5"/>
  <c r="C18" i="5"/>
  <c r="C10" i="5"/>
  <c r="C2" i="5"/>
  <c r="A26" i="5"/>
  <c r="A18" i="5"/>
  <c r="A10" i="5"/>
  <c r="Q2" i="2"/>
  <c r="P2" i="2"/>
  <c r="F19" i="1"/>
  <c r="F23" i="1"/>
  <c r="F27" i="1"/>
  <c r="F31" i="1"/>
  <c r="F35" i="1"/>
  <c r="H34" i="1"/>
  <c r="F34" i="1"/>
  <c r="H3" i="3"/>
  <c r="H30" i="1"/>
  <c r="F30" i="1"/>
  <c r="H26" i="1"/>
  <c r="F26" i="1"/>
  <c r="F22" i="1"/>
  <c r="H22" i="1"/>
  <c r="F18" i="1"/>
  <c r="H18" i="1"/>
  <c r="H10" i="1"/>
  <c r="F11" i="1"/>
  <c r="F10" i="1"/>
  <c r="C30" i="1"/>
  <c r="A31" i="1"/>
  <c r="A30" i="1"/>
  <c r="A27" i="1"/>
  <c r="C26" i="1"/>
  <c r="A26" i="1"/>
  <c r="A23" i="1"/>
  <c r="A22" i="1"/>
  <c r="C22" i="1"/>
  <c r="A19" i="1"/>
  <c r="A18" i="1"/>
  <c r="C18" i="1"/>
  <c r="C14" i="1"/>
  <c r="A14" i="1"/>
  <c r="A15" i="1" s="1"/>
  <c r="P13" i="2"/>
  <c r="A10" i="1"/>
  <c r="C10" i="1"/>
  <c r="F3" i="3"/>
  <c r="F2" i="3"/>
  <c r="G2" i="3" s="1"/>
  <c r="G3" i="3"/>
  <c r="J3" i="3" s="1"/>
  <c r="K3" i="3" s="1"/>
  <c r="J2" i="3"/>
  <c r="K2" i="3" s="1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K11" i="1"/>
  <c r="C39" i="5" l="1"/>
  <c r="C40" i="5" s="1"/>
  <c r="G39" i="5"/>
  <c r="K39" i="5"/>
  <c r="A5" i="5"/>
  <c r="C6" i="5" s="1"/>
  <c r="C5" i="5"/>
  <c r="A6" i="5" s="1"/>
  <c r="A7" i="5" s="1"/>
  <c r="A8" i="5" s="1"/>
  <c r="E5" i="5"/>
  <c r="G6" i="5" s="1"/>
  <c r="G5" i="5"/>
  <c r="E6" i="5" s="1"/>
  <c r="E7" i="5" s="1"/>
  <c r="E8" i="5" s="1"/>
  <c r="I5" i="5"/>
  <c r="K6" i="5" s="1"/>
  <c r="K5" i="5"/>
  <c r="I6" i="5" s="1"/>
  <c r="I7" i="5" s="1"/>
  <c r="I8" i="5" s="1"/>
  <c r="K13" i="5"/>
  <c r="I14" i="5" s="1"/>
  <c r="I13" i="5"/>
  <c r="K14" i="5" s="1"/>
  <c r="K15" i="5" s="1"/>
  <c r="K16" i="5" s="1"/>
  <c r="G13" i="5"/>
  <c r="E14" i="5" s="1"/>
  <c r="E13" i="5"/>
  <c r="G14" i="5" s="1"/>
  <c r="G15" i="5" s="1"/>
  <c r="G16" i="5" s="1"/>
  <c r="C13" i="5"/>
  <c r="A14" i="5" s="1"/>
  <c r="A13" i="5"/>
  <c r="C14" i="5" s="1"/>
  <c r="C15" i="5" s="1"/>
  <c r="C16" i="5" s="1"/>
  <c r="A21" i="5"/>
  <c r="C22" i="5" s="1"/>
  <c r="C21" i="5"/>
  <c r="A22" i="5" s="1"/>
  <c r="A23" i="5" s="1"/>
  <c r="A24" i="5" s="1"/>
  <c r="E21" i="5"/>
  <c r="G22" i="5" s="1"/>
  <c r="G21" i="5"/>
  <c r="E22" i="5" s="1"/>
  <c r="E23" i="5" s="1"/>
  <c r="E24" i="5" s="1"/>
  <c r="I21" i="5"/>
  <c r="K22" i="5" s="1"/>
  <c r="K21" i="5"/>
  <c r="I22" i="5" s="1"/>
  <c r="I23" i="5" s="1"/>
  <c r="I24" i="5" s="1"/>
  <c r="K29" i="5"/>
  <c r="I30" i="5" s="1"/>
  <c r="I29" i="5"/>
  <c r="K30" i="5" s="1"/>
  <c r="K31" i="5" s="1"/>
  <c r="K32" i="5" s="1"/>
  <c r="G29" i="5"/>
  <c r="E30" i="5" s="1"/>
  <c r="E29" i="5"/>
  <c r="G30" i="5" s="1"/>
  <c r="G31" i="5" s="1"/>
  <c r="G32" i="5" s="1"/>
  <c r="C29" i="5"/>
  <c r="A30" i="5" s="1"/>
  <c r="A29" i="5"/>
  <c r="C30" i="5" s="1"/>
  <c r="C31" i="5" s="1"/>
  <c r="C32" i="5" s="1"/>
  <c r="A31" i="5" l="1"/>
  <c r="A32" i="5" s="1"/>
  <c r="E31" i="5"/>
  <c r="E32" i="5" s="1"/>
  <c r="I31" i="5"/>
  <c r="I32" i="5" s="1"/>
  <c r="K23" i="5"/>
  <c r="K24" i="5" s="1"/>
  <c r="G23" i="5"/>
  <c r="G24" i="5" s="1"/>
  <c r="C23" i="5"/>
  <c r="C24" i="5" s="1"/>
  <c r="A15" i="5"/>
  <c r="A16" i="5" s="1"/>
  <c r="E15" i="5"/>
  <c r="E16" i="5" s="1"/>
  <c r="I15" i="5"/>
  <c r="I16" i="5" s="1"/>
  <c r="K7" i="5"/>
  <c r="K8" i="5" s="1"/>
  <c r="G7" i="5"/>
  <c r="G8" i="5" s="1"/>
  <c r="C7" i="5"/>
  <c r="C8" i="5" s="1"/>
</calcChain>
</file>

<file path=xl/sharedStrings.xml><?xml version="1.0" encoding="utf-8"?>
<sst xmlns="http://schemas.openxmlformats.org/spreadsheetml/2006/main" count="721" uniqueCount="369">
  <si>
    <t>OBP*SLG =</t>
  </si>
  <si>
    <t>OTS</t>
  </si>
  <si>
    <t>Starting pitcher projected ERA * projected innings in game</t>
  </si>
  <si>
    <t>projected ERA from season performance and projections (Season ERA, Season xERA, Season FIP ERA, Season XFIP ERA)</t>
  </si>
  <si>
    <t>*Remove non-starters</t>
  </si>
  <si>
    <t>add bullpen projected ERA * innings</t>
  </si>
  <si>
    <t>*Divide by AL/NL average OTS</t>
  </si>
  <si>
    <t>divide by league average ERA</t>
  </si>
  <si>
    <t>ZiPS projected OTS</t>
  </si>
  <si>
    <t>Choose OTS, adjus for RHP/LHP diff and ballpark</t>
  </si>
  <si>
    <t>Home offensive rating (i.e. 1.07 for 107%/7% better) * pitching rating (expected runs given up as % of league average i.e. 4.1 RAA = 97% average = .97)</t>
  </si>
  <si>
    <t>win percentage = (runs ^exp) /(RA*exp)+(runs^exp)</t>
  </si>
  <si>
    <t>exp based on game total table</t>
  </si>
  <si>
    <t>Dodgers (Bauer) @</t>
  </si>
  <si>
    <t>Astros (Garcia)</t>
  </si>
  <si>
    <t xml:space="preserve">Indians (Mackenzie) @ </t>
  </si>
  <si>
    <t>Tigers (Urena)</t>
  </si>
  <si>
    <t>=POWER(4.64,1.916)/((POWER(4.64,1.916)+POWER(4.32,1.916))</t>
  </si>
  <si>
    <t>xRuns</t>
  </si>
  <si>
    <t>WIN%</t>
  </si>
  <si>
    <t>3.5% standard home field adjustment</t>
  </si>
  <si>
    <t>League average ERA currently = 4.05</t>
  </si>
  <si>
    <t>Win%</t>
  </si>
  <si>
    <t>Odds</t>
  </si>
  <si>
    <t>runs/game</t>
  </si>
  <si>
    <t>Padres (Paddack) @</t>
  </si>
  <si>
    <t>Brewers (Lauer)</t>
  </si>
  <si>
    <t>Blue Jays (Manoah) @</t>
  </si>
  <si>
    <t>Yankees (German)</t>
  </si>
  <si>
    <t>add .5 total runs to your # if &gt;90 deg, subtract .5 if &lt;55 deg</t>
  </si>
  <si>
    <t>cold weather = power pitcher &gt; finesse</t>
  </si>
  <si>
    <t>watch wind speed for finesse pitchers</t>
  </si>
  <si>
    <t>interleague game diff?</t>
  </si>
  <si>
    <t>Giants (Cueto) @</t>
  </si>
  <si>
    <t>Diamondbacks (Merrill Kelly)</t>
  </si>
  <si>
    <t>Reds (Hoffman) @</t>
  </si>
  <si>
    <t>Nationals (Ross)</t>
  </si>
  <si>
    <t>https://www.fangraphs.com/leaders.aspx?pos=all&amp;stats=rel&amp;lg=all&amp;qual=0&amp;type=3&amp;season=2021&amp;month=0&amp;season1=2021&amp;ind=0&amp;team=0,ts&amp;rost=0&amp;age=0&amp;filter=&amp;players=0&amp;startdate=2021-01-01&amp;enddate=2021-12-31</t>
  </si>
  <si>
    <t>https://baseballsavant.mlb.com/leaderboard/expected_statistics?type=pitcher&amp;year=2021&amp;position=&amp;team=&amp;min=25</t>
  </si>
  <si>
    <t>https://www.baseball-reference.com/leagues/MLB/pitch.shtml</t>
  </si>
  <si>
    <t>Braves (Smyly) @</t>
  </si>
  <si>
    <t>Red Sox (Pivetta)</t>
  </si>
  <si>
    <t>Cubs (T Williams) @</t>
  </si>
  <si>
    <t>Pirates (Crowe)</t>
  </si>
  <si>
    <t>Total</t>
  </si>
  <si>
    <t>Exponent</t>
  </si>
  <si>
    <t>Total2</t>
  </si>
  <si>
    <t>Exponent2</t>
  </si>
  <si>
    <t xml:space="preserve">Royals (Minor) @ </t>
  </si>
  <si>
    <t>Rays (Glasnow)</t>
  </si>
  <si>
    <t>Rangers (Dunning) @</t>
  </si>
  <si>
    <t>Angels (Canning)</t>
  </si>
  <si>
    <t xml:space="preserve">Rockies (Marquez) @ </t>
  </si>
  <si>
    <t>Mets (Stroman)</t>
  </si>
  <si>
    <t>Cardinals (Gant) @</t>
  </si>
  <si>
    <t>White Sox (Rodon)</t>
  </si>
  <si>
    <t>Running total:</t>
  </si>
  <si>
    <t>W</t>
  </si>
  <si>
    <t>L</t>
  </si>
  <si>
    <t>Orioles (J Lopez) @</t>
  </si>
  <si>
    <t>Twins (Pineda)</t>
  </si>
  <si>
    <t>Marlins</t>
  </si>
  <si>
    <t>Teams</t>
  </si>
  <si>
    <t>Pirates</t>
  </si>
  <si>
    <t>Game Total</t>
  </si>
  <si>
    <t>Red Sox</t>
  </si>
  <si>
    <t>Yankees</t>
  </si>
  <si>
    <t>Nationals</t>
  </si>
  <si>
    <t>Phillies</t>
  </si>
  <si>
    <t>Value of the Day</t>
  </si>
  <si>
    <t>EV</t>
  </si>
  <si>
    <t>Offensive Value</t>
  </si>
  <si>
    <t>Red Sox +10</t>
  </si>
  <si>
    <t>Starting Pitcher</t>
  </si>
  <si>
    <t>League ERA</t>
  </si>
  <si>
    <t>Marlins +82</t>
  </si>
  <si>
    <t>Bullpen Value</t>
  </si>
  <si>
    <t>Blue Jays +10</t>
  </si>
  <si>
    <t>Pitching Value</t>
  </si>
  <si>
    <t>League xR</t>
  </si>
  <si>
    <t>Tigers +40</t>
  </si>
  <si>
    <t>Diamondbacks +30</t>
  </si>
  <si>
    <t>Win %</t>
  </si>
  <si>
    <t>Rockies +10</t>
  </si>
  <si>
    <t>"True" Odds</t>
  </si>
  <si>
    <t>Mariners +15</t>
  </si>
  <si>
    <t>Dodgers</t>
  </si>
  <si>
    <t>Braves</t>
  </si>
  <si>
    <t>Rays</t>
  </si>
  <si>
    <t>Rangers</t>
  </si>
  <si>
    <t>Astros</t>
  </si>
  <si>
    <t>Blue Jays</t>
  </si>
  <si>
    <t>Mets +60</t>
  </si>
  <si>
    <t>Twins</t>
  </si>
  <si>
    <t>Royals</t>
  </si>
  <si>
    <t>Tigers</t>
  </si>
  <si>
    <t>White Sox</t>
  </si>
  <si>
    <t>Diamondbacks</t>
  </si>
  <si>
    <t>Brewers</t>
  </si>
  <si>
    <t>Expected Runs</t>
  </si>
  <si>
    <t>Reds</t>
  </si>
  <si>
    <t>Cardinals</t>
  </si>
  <si>
    <t>Athletics</t>
  </si>
  <si>
    <t>Rockies</t>
  </si>
  <si>
    <t>Mariners</t>
  </si>
  <si>
    <t>Angels</t>
  </si>
  <si>
    <t>Mets</t>
  </si>
  <si>
    <t>Padres</t>
  </si>
  <si>
    <t>team</t>
  </si>
  <si>
    <t>team_id</t>
  </si>
  <si>
    <t>year</t>
  </si>
  <si>
    <t>pa</t>
  </si>
  <si>
    <t>bip</t>
  </si>
  <si>
    <t>ba</t>
  </si>
  <si>
    <t>est_ba</t>
  </si>
  <si>
    <t>est_ba_minus_ba_diff</t>
  </si>
  <si>
    <t>slg</t>
  </si>
  <si>
    <t>est_slg</t>
  </si>
  <si>
    <t>est_slg_minus_slg_diff</t>
  </si>
  <si>
    <t>woba</t>
  </si>
  <si>
    <t>est_woba</t>
  </si>
  <si>
    <t>est_woba_minus_woba_diff</t>
  </si>
  <si>
    <t>Offensive Value:</t>
  </si>
  <si>
    <t>Expected Value: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</si>
  <si>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</si>
  <si>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</si>
  <si>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</si>
  <si>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</si>
  <si>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</si>
  <si>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</si>
  <si>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</si>
  <si>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</si>
  <si>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</si>
  <si>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</si>
  <si>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</si>
  <si>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</si>
  <si>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</si>
  <si>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</si>
  <si>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</si>
  <si>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</si>
  <si>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</si>
  <si>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</si>
  <si>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</si>
  <si>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</si>
  <si>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</si>
  <si>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</si>
  <si>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</si>
  <si>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</si>
  <si>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</si>
  <si>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</si>
  <si>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</si>
  <si>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</si>
  <si>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</si>
  <si>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</si>
  <si>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Year</t>
  </si>
  <si>
    <t>BA    </t>
  </si>
  <si>
    <t>xBA    </t>
  </si>
  <si>
    <t>Diff</t>
  </si>
  <si>
    <t>SLG</t>
  </si>
  <si>
    <t>xSLG</t>
  </si>
  <si>
    <t>wOBA</t>
  </si>
  <si>
    <t>xwOBA</t>
  </si>
  <si>
    <t>MLB Average</t>
  </si>
  <si>
    <t>Name</t>
  </si>
  <si>
    <t>ERA</t>
  </si>
  <si>
    <t>xERA</t>
  </si>
  <si>
    <t>FIP</t>
  </si>
  <si>
    <t>xFIP</t>
  </si>
  <si>
    <t>WAR</t>
  </si>
  <si>
    <t>playerid</t>
  </si>
  <si>
    <t>Team</t>
  </si>
  <si>
    <t>IP</t>
  </si>
  <si>
    <t>K/9</t>
  </si>
  <si>
    <t>BB/9</t>
  </si>
  <si>
    <t>HR/9</t>
  </si>
  <si>
    <t>BABIP</t>
  </si>
  <si>
    <t>LOB%</t>
  </si>
  <si>
    <t>GB%</t>
  </si>
  <si>
    <t>HR/FB</t>
  </si>
  <si>
    <t>vFA (pi)</t>
  </si>
  <si>
    <t>Aaron Civale</t>
  </si>
  <si>
    <t>CLE</t>
  </si>
  <si>
    <t>Aaron Nola</t>
  </si>
  <si>
    <t>PHI</t>
  </si>
  <si>
    <t>Aaron Sanchez</t>
  </si>
  <si>
    <t>SFG</t>
  </si>
  <si>
    <t>Adam Wainwright</t>
  </si>
  <si>
    <t>STL</t>
  </si>
  <si>
    <t>Adbert Alzolay</t>
  </si>
  <si>
    <t>CHC</t>
  </si>
  <si>
    <t>Adrian Houser</t>
  </si>
  <si>
    <t>MIL</t>
  </si>
  <si>
    <t>Alex Cobb</t>
  </si>
  <si>
    <t>LAA</t>
  </si>
  <si>
    <t>Alex Wood</t>
  </si>
  <si>
    <t>Andrew Heaney</t>
  </si>
  <si>
    <t>Anthony DeSclafani</t>
  </si>
  <si>
    <t>Antonio Senzatela</t>
  </si>
  <si>
    <t>COL</t>
  </si>
  <si>
    <t>Austin Gomber</t>
  </si>
  <si>
    <t>Blake Snell</t>
  </si>
  <si>
    <t>SDP</t>
  </si>
  <si>
    <t>Brad Keller</t>
  </si>
  <si>
    <t>KCR</t>
  </si>
  <si>
    <t>Brady Singer</t>
  </si>
  <si>
    <t>Brandon Woodruff</t>
  </si>
  <si>
    <t>Brett Anderson</t>
  </si>
  <si>
    <t>Bruce Zimmermann</t>
  </si>
  <si>
    <t>BAL</t>
  </si>
  <si>
    <t>Bryse Wilson</t>
  </si>
  <si>
    <t>ATL</t>
  </si>
  <si>
    <t>Carlos Martinez</t>
  </si>
  <si>
    <t>Carlos Rodon</t>
  </si>
  <si>
    <t>CHW</t>
  </si>
  <si>
    <t>Casey Mize</t>
  </si>
  <si>
    <t>DET</t>
  </si>
  <si>
    <t>Charlie Morton</t>
  </si>
  <si>
    <t>Chase Anderson</t>
  </si>
  <si>
    <t>Chi Chi Gonzalez</t>
  </si>
  <si>
    <t>Chris Bassitt</t>
  </si>
  <si>
    <t>OAK</t>
  </si>
  <si>
    <t>Chris Flexen</t>
  </si>
  <si>
    <t>SEA</t>
  </si>
  <si>
    <t>Chris Paddack</t>
  </si>
  <si>
    <t>Clayton Kershaw</t>
  </si>
  <si>
    <t>LAD</t>
  </si>
  <si>
    <t>Cody Poteet</t>
  </si>
  <si>
    <t>MIA</t>
  </si>
  <si>
    <t>Cole Irvin</t>
  </si>
  <si>
    <t>Corbin Burnes</t>
  </si>
  <si>
    <t>Corey Kluber</t>
  </si>
  <si>
    <t>NYY</t>
  </si>
  <si>
    <t>Cristian Javier</t>
  </si>
  <si>
    <t>HOU</t>
  </si>
  <si>
    <t>Dallas Keuchel</t>
  </si>
  <si>
    <t>Dane Dunning</t>
  </si>
  <si>
    <t>TEX</t>
  </si>
  <si>
    <t>Danny Duffy</t>
  </si>
  <si>
    <t>David Peterson</t>
  </si>
  <si>
    <t>NYM</t>
  </si>
  <si>
    <t>Dean Kremer</t>
  </si>
  <si>
    <t>Domingo German</t>
  </si>
  <si>
    <t>Drew Smyly</t>
  </si>
  <si>
    <t>Dustin May</t>
  </si>
  <si>
    <t>Dylan Bundy</t>
  </si>
  <si>
    <t>Dylan Cease</t>
  </si>
  <si>
    <t>Eduardo Rodriguez</t>
  </si>
  <si>
    <t>BOS</t>
  </si>
  <si>
    <t>Erick Fedde</t>
  </si>
  <si>
    <t>WSN</t>
  </si>
  <si>
    <t>Frankie Montas</t>
  </si>
  <si>
    <t>Freddy Peralta</t>
  </si>
  <si>
    <t>Garrett Richards</t>
  </si>
  <si>
    <t>German Marquez</t>
  </si>
  <si>
    <t>Gerrit Cole</t>
  </si>
  <si>
    <t>Griffin Canning</t>
  </si>
  <si>
    <t>Huascar Ynoa</t>
  </si>
  <si>
    <t>Hyun-Jin Ryu</t>
  </si>
  <si>
    <t>TOR</t>
  </si>
  <si>
    <t>Ian Anderson</t>
  </si>
  <si>
    <t>J.A. Happ</t>
  </si>
  <si>
    <t>MIN</t>
  </si>
  <si>
    <t>Jack Flaherty</t>
  </si>
  <si>
    <t>Jacob deGrom</t>
  </si>
  <si>
    <t>Jake Arrieta</t>
  </si>
  <si>
    <t>Jakob Junis</t>
  </si>
  <si>
    <t>James Kaprielian</t>
  </si>
  <si>
    <t>Jameson Taillon</t>
  </si>
  <si>
    <t>Jeff Hoffman</t>
  </si>
  <si>
    <t>CIN</t>
  </si>
  <si>
    <t>Jesus Luzardo</t>
  </si>
  <si>
    <t>Joe Musgrove</t>
  </si>
  <si>
    <t>Joe Ross</t>
  </si>
  <si>
    <t>John Gant</t>
  </si>
  <si>
    <t>John Means</t>
  </si>
  <si>
    <t>Johnny Cueto</t>
  </si>
  <si>
    <t>Jon Gray</t>
  </si>
  <si>
    <t>Jon Lester</t>
  </si>
  <si>
    <t>Jordan Lyles</t>
  </si>
  <si>
    <t>Jordan Montgomery</t>
  </si>
  <si>
    <t>Jorge Lopez</t>
  </si>
  <si>
    <t>Jose Berrios</t>
  </si>
  <si>
    <t>Jose Quintana</t>
  </si>
  <si>
    <t>Jose Urena</t>
  </si>
  <si>
    <t>Jose Urquidy</t>
  </si>
  <si>
    <t>Josh Fleming</t>
  </si>
  <si>
    <t>TBR</t>
  </si>
  <si>
    <t>JT Brubaker</t>
  </si>
  <si>
    <t>PIT</t>
  </si>
  <si>
    <t>Julio Urias</t>
  </si>
  <si>
    <t>Justin Dunn</t>
  </si>
  <si>
    <t>Justus Sheffield</t>
  </si>
  <si>
    <t>Kenta Maeda</t>
  </si>
  <si>
    <t>Kevin Gausman</t>
  </si>
  <si>
    <t>Kohei Arihara</t>
  </si>
  <si>
    <t>Kwang-hyun Kim</t>
  </si>
  <si>
    <t>Kyle Gibson</t>
  </si>
  <si>
    <t>Kyle Hendricks</t>
  </si>
  <si>
    <t>Lance Lynn</t>
  </si>
  <si>
    <t>Lance McCullers Jr.</t>
  </si>
  <si>
    <t>Logan Webb</t>
  </si>
  <si>
    <t>Lucas Giolito</t>
  </si>
  <si>
    <t>Luis Castillo</t>
  </si>
  <si>
    <t>Luis Garcia</t>
  </si>
  <si>
    <t>Luke Weaver</t>
  </si>
  <si>
    <t>ARI</t>
  </si>
  <si>
    <t>Madison Bumgarner</t>
  </si>
  <si>
    <t>Marco Gonzales</t>
  </si>
  <si>
    <t>Marcus Stroman</t>
  </si>
  <si>
    <t>Martin Perez</t>
  </si>
  <si>
    <t>Matt Harvey</t>
  </si>
  <si>
    <t>Matt Shoemaker</t>
  </si>
  <si>
    <t>Matthew Boyd</t>
  </si>
  <si>
    <t>Max Fried</t>
  </si>
  <si>
    <t>Max Scherzer</t>
  </si>
  <si>
    <t>Merrill Kelly</t>
  </si>
  <si>
    <t>Michael Pineda</t>
  </si>
  <si>
    <t>Michael Wacha</t>
  </si>
  <si>
    <t>Mike Foltynewicz</t>
  </si>
  <si>
    <t>Mike Minor</t>
  </si>
  <si>
    <t>Mitch Keller</t>
  </si>
  <si>
    <t>Nathan Eovaldi</t>
  </si>
  <si>
    <t>Nick Pivetta</t>
  </si>
  <si>
    <t>Pablo Lopez</t>
  </si>
  <si>
    <t>Patrick Corbin</t>
  </si>
  <si>
    <t>Rich Hill</t>
  </si>
  <si>
    <t>Riley Smith</t>
  </si>
  <si>
    <t>Robbie Ray</t>
  </si>
  <si>
    <t>Ross Stripling</t>
  </si>
  <si>
    <t>Ryan Weathers</t>
  </si>
  <si>
    <t>Ryan Yarbrough</t>
  </si>
  <si>
    <t>Sandy Alcantara</t>
  </si>
  <si>
    <t>Sean Manaea</t>
  </si>
  <si>
    <t>Shane Bieber</t>
  </si>
  <si>
    <t>Shane McClanahan</t>
  </si>
  <si>
    <t>Shohei Ohtani</t>
  </si>
  <si>
    <t>Sonny Gray</t>
  </si>
  <si>
    <t>Spencer Turnbull</t>
  </si>
  <si>
    <t>Stephen Strasburg</t>
  </si>
  <si>
    <t>Steven Matz</t>
  </si>
  <si>
    <t>Taijuan Walker</t>
  </si>
  <si>
    <t>Tarik Skubal</t>
  </si>
  <si>
    <t>Taylor Widener</t>
  </si>
  <si>
    <t>Trevor Bauer</t>
  </si>
  <si>
    <t>Trevor Cahill</t>
  </si>
  <si>
    <t>Trevor Rogers</t>
  </si>
  <si>
    <t>Trevor Williams</t>
  </si>
  <si>
    <t>Triston McKenzie</t>
  </si>
  <si>
    <t>Tyler Anderson</t>
  </si>
  <si>
    <t>Tyler Glasnow</t>
  </si>
  <si>
    <t>Tyler Mahle</t>
  </si>
  <si>
    <t>Vince Velasquez</t>
  </si>
  <si>
    <t>Wade Miley</t>
  </si>
  <si>
    <t>Walker Buehler</t>
  </si>
  <si>
    <t>Wil Crowe</t>
  </si>
  <si>
    <t>Yu Darvish</t>
  </si>
  <si>
    <t>Yusei Kikuchi</t>
  </si>
  <si>
    <t>Zac Gallen</t>
  </si>
  <si>
    <t>Zach Davies</t>
  </si>
  <si>
    <t>Zach Eflin</t>
  </si>
  <si>
    <t>Zach Plesac</t>
  </si>
  <si>
    <t>Zack Greinke</t>
  </si>
  <si>
    <t>Zack Wheeler</t>
  </si>
  <si>
    <t>Starters:</t>
  </si>
  <si>
    <t>Model xERA</t>
  </si>
  <si>
    <t>6IP Standard</t>
  </si>
  <si>
    <t>Bullpen xRuns</t>
  </si>
  <si>
    <t>Total xRuns</t>
  </si>
  <si>
    <t>/League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</si>
</sst>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33333"/>
      <name val="Roboto Condensed"/>
      <charset val="1"/>
    </font>
    <font>
      <sz val="11"/>
      <color rgb="FF333333"/>
      <name val="Roboto Condensed"/>
      <charset val="1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1" fillId="3" borderId="3" xfId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1" fillId="0" borderId="0" xfId="1"/>
    <xf numFmtId="9" fontId="0" fillId="0" borderId="0" xfId="0" applyNumberFormat="1"/>
    <xf numFmtId="0" fontId="2" fillId="0" borderId="0" xfId="0" applyFont="1" applyAlignment="1">
      <alignment wrapText="1"/>
    </xf>
    <xf numFmtId="10" fontId="2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quotePrefix="1" applyFont="1"/>
    <xf numFmtId="0" fontId="6" fillId="0" borderId="4" xfId="0" quotePrefix="1" applyFont="1" applyBorder="1"/>
    <xf numFmtId="0" fontId="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53348-1B2E-4053-B00D-359631CB3E4A}" name="Table2" displayName="Table2" ref="K22:N29" totalsRowShown="0">
  <autoFilter ref="K22:N29" xr:uid="{CCE53348-1B2E-4053-B00D-359631CB3E4A}"/>
  <tableColumns count="4">
    <tableColumn id="1" xr3:uid="{6277383A-2C6D-4177-AB6D-FE5EC4732225}" name="Total"/>
    <tableColumn id="2" xr3:uid="{249EA861-85C6-4EE1-90AF-24BF902C6EBA}" name="Exponent"/>
    <tableColumn id="3" xr3:uid="{971A5DE9-4381-433E-BEC7-1BFFBBDC6A4B}" name="Total2"/>
    <tableColumn id="4" xr3:uid="{89EF95C4-D73A-40DA-B2BA-84A6276312CE}" name="Exponen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leagues/MLB/pitch.shtml" TargetMode="External"/><Relationship Id="rId2" Type="http://schemas.openxmlformats.org/officeDocument/2006/relationships/hyperlink" Target="https://baseballsavant.mlb.com/leaderboard/expected_statistics?type=pitcher&amp;year=2021&amp;position=&amp;team=&amp;min=25" TargetMode="External"/><Relationship Id="rId1" Type="http://schemas.openxmlformats.org/officeDocument/2006/relationships/hyperlink" Target="https://www.fangraphs.com/leaders.aspx?pos=all&amp;stats=rel&amp;lg=all&amp;qual=0&amp;type=3&amp;season=2021&amp;month=0&amp;season1=2021&amp;ind=0&amp;team=0,ts&amp;rost=0&amp;age=0&amp;filter=&amp;players=0&amp;startdate=2021-01-01&amp;enddate=2021-12-31" TargetMode="Externa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graphs.com/leaders.aspx?pos=all&amp;stats=sta&amp;lg=all&amp;qual=y&amp;type=8&amp;season=2021&amp;month=0&amp;season1=2021&amp;ind=0&amp;team=0&amp;rost=0&amp;age=0&amp;filter=&amp;players=0&amp;startdate=2021-01-01&amp;enddate=2021-12-31&amp;sort=19,d" TargetMode="External"/><Relationship Id="rId2" Type="http://schemas.openxmlformats.org/officeDocument/2006/relationships/hyperlink" Target="https://www.fangraphs.com/leaders.aspx?pos=all&amp;stats=sta&amp;lg=all&amp;qual=y&amp;type=8&amp;season=2021&amp;month=0&amp;season1=2021&amp;ind=0&amp;team=0&amp;rost=0&amp;age=0&amp;filter=&amp;players=0&amp;startdate=2021-01-01&amp;enddate=2021-12-31&amp;sort=18,d" TargetMode="External"/><Relationship Id="rId1" Type="http://schemas.openxmlformats.org/officeDocument/2006/relationships/hyperlink" Target="https://www.fangraphs.com/leaders.aspx?pos=all&amp;stats=sta&amp;lg=all&amp;qual=y&amp;type=8&amp;season=2021&amp;month=0&amp;season1=2021&amp;ind=0&amp;team=0&amp;rost=0&amp;age=0&amp;filter=&amp;players=0&amp;startdate=2021-01-01&amp;enddate=2021-12-31&amp;sort=17,d" TargetMode="External"/><Relationship Id="rId4" Type="http://schemas.openxmlformats.org/officeDocument/2006/relationships/hyperlink" Target="https://www.fangraphs.com/leaders.aspx?pos=all&amp;stats=sta&amp;lg=all&amp;qual=y&amp;type=8&amp;season=2021&amp;month=0&amp;season1=2021&amp;ind=0&amp;team=0&amp;rost=0&amp;age=0&amp;filter=&amp;players=0&amp;startdate=2021-01-01&amp;enddate=2021-12-31&amp;sort=20,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workbookViewId="0">
      <selection activeCell="A11" sqref="A11"/>
    </sheetView>
  </sheetViews>
  <sheetFormatPr defaultRowHeight="15"/>
  <cols>
    <col min="1" max="1" width="10.42578125" bestFit="1" customWidth="1"/>
    <col min="6" max="9" width="11.28515625" bestFit="1" customWidth="1"/>
  </cols>
  <sheetData>
    <row r="1" spans="1:19">
      <c r="A1" t="s">
        <v>0</v>
      </c>
      <c r="B1" t="s">
        <v>1</v>
      </c>
      <c r="G1" t="s">
        <v>2</v>
      </c>
      <c r="M1" t="s">
        <v>3</v>
      </c>
    </row>
    <row r="2" spans="1:19">
      <c r="A2" t="s">
        <v>4</v>
      </c>
      <c r="G2" t="s">
        <v>5</v>
      </c>
    </row>
    <row r="3" spans="1:19">
      <c r="A3" t="s">
        <v>6</v>
      </c>
      <c r="G3" t="s">
        <v>7</v>
      </c>
    </row>
    <row r="4" spans="1:19">
      <c r="A4" t="s">
        <v>8</v>
      </c>
    </row>
    <row r="5" spans="1:19">
      <c r="A5" t="s">
        <v>9</v>
      </c>
      <c r="K5" t="s">
        <v>10</v>
      </c>
    </row>
    <row r="7" spans="1:19">
      <c r="K7" t="s">
        <v>11</v>
      </c>
      <c r="Q7" t="s">
        <v>12</v>
      </c>
    </row>
    <row r="9" spans="1:19">
      <c r="A9" t="s">
        <v>13</v>
      </c>
      <c r="C9" t="s">
        <v>14</v>
      </c>
      <c r="E9">
        <v>8.5</v>
      </c>
      <c r="F9" t="s">
        <v>15</v>
      </c>
      <c r="H9" t="s">
        <v>16</v>
      </c>
      <c r="I9">
        <v>10</v>
      </c>
      <c r="K9" t="s">
        <v>17</v>
      </c>
    </row>
    <row r="10" spans="1:19">
      <c r="A10">
        <f>1.384*1.0677*4.4</f>
        <v>6.5018659200000002</v>
      </c>
      <c r="B10" t="s">
        <v>18</v>
      </c>
      <c r="C10">
        <f>1.0677*0.923*4.4</f>
        <v>4.3361432400000011</v>
      </c>
      <c r="F10">
        <f>1.167*0.96*4.38</f>
        <v>4.9070016000000001</v>
      </c>
      <c r="H10">
        <f>1.21*0.939*4.38</f>
        <v>4.9765121999999993</v>
      </c>
    </row>
    <row r="11" spans="1:19">
      <c r="A11">
        <f>POWER(6.5,1.84)/(POWER(6.5,1.84)+(POWER(4.336,1.84)))</f>
        <v>0.67807162466073523</v>
      </c>
      <c r="B11" s="12"/>
      <c r="C11">
        <v>-212</v>
      </c>
      <c r="F11">
        <f>POWER(F10,1.95)/(POWER(F10,1.95)+(POWER(H10,1.95)))</f>
        <v>0.49314315688083843</v>
      </c>
      <c r="K11">
        <f>POWER(4.64,1.916)/(POWER(4.64,1.916)+(POWER(4.32,1.916)))</f>
        <v>0.53417547314773273</v>
      </c>
      <c r="L11" t="s">
        <v>19</v>
      </c>
      <c r="M11" t="s">
        <v>20</v>
      </c>
      <c r="R11" t="s">
        <v>21</v>
      </c>
    </row>
    <row r="12" spans="1:19">
      <c r="A12" t="s">
        <v>22</v>
      </c>
      <c r="C12" t="s">
        <v>23</v>
      </c>
      <c r="R12">
        <v>4.3600000000000003</v>
      </c>
      <c r="S12" t="s">
        <v>24</v>
      </c>
    </row>
    <row r="13" spans="1:19">
      <c r="A13" t="s">
        <v>25</v>
      </c>
      <c r="C13" t="s">
        <v>26</v>
      </c>
      <c r="E13">
        <v>8</v>
      </c>
      <c r="F13" t="s">
        <v>27</v>
      </c>
      <c r="H13" t="s">
        <v>28</v>
      </c>
      <c r="I13">
        <v>9.5</v>
      </c>
      <c r="K13" t="s">
        <v>29</v>
      </c>
    </row>
    <row r="14" spans="1:19">
      <c r="A14">
        <f>1.406*1.106*4.4</f>
        <v>6.8421584000000006</v>
      </c>
      <c r="C14">
        <f>1.123*0.941935484*4.4</f>
        <v>4.6542916135408001</v>
      </c>
      <c r="K14" t="s">
        <v>30</v>
      </c>
    </row>
    <row r="15" spans="1:19">
      <c r="A15">
        <f>POWER(A14,1.8)/(POWER(A14,1.8)+(POWER(C14,1.8)))</f>
        <v>0.66675935975226308</v>
      </c>
      <c r="C15">
        <v>-200</v>
      </c>
      <c r="K15" t="s">
        <v>31</v>
      </c>
    </row>
    <row r="16" spans="1:19">
      <c r="K16" t="s">
        <v>32</v>
      </c>
    </row>
    <row r="17" spans="1:14">
      <c r="A17" t="s">
        <v>33</v>
      </c>
      <c r="C17" t="s">
        <v>34</v>
      </c>
      <c r="E17">
        <v>8.5</v>
      </c>
      <c r="F17" t="s">
        <v>35</v>
      </c>
      <c r="H17" t="s">
        <v>36</v>
      </c>
      <c r="J17">
        <v>9.5</v>
      </c>
    </row>
    <row r="18" spans="1:14">
      <c r="A18">
        <f>1.01*1.546*4.4</f>
        <v>6.8704240000000008</v>
      </c>
      <c r="C18">
        <f>1.227*0.98*4.4</f>
        <v>5.2908240000000006</v>
      </c>
      <c r="F18">
        <f>1.218*1.0645*4.38</f>
        <v>5.6789371800000001</v>
      </c>
      <c r="H18">
        <f>1.201*1.029*4.38</f>
        <v>5.4129310200000003</v>
      </c>
      <c r="K18" s="11" t="s">
        <v>37</v>
      </c>
    </row>
    <row r="19" spans="1:14">
      <c r="A19">
        <f>POWER(A18,1.84)/(POWER(A18,1.84)+(POWER(C18,1.84)))</f>
        <v>0.61791394771822949</v>
      </c>
      <c r="C19">
        <v>-163</v>
      </c>
      <c r="F19">
        <f>POWER(F18,1.92)/(POWER(F18,1.92)+(POWER(H18,1.92)))</f>
        <v>0.52301095331928227</v>
      </c>
      <c r="H19">
        <v>-109</v>
      </c>
      <c r="K19" s="11" t="s">
        <v>38</v>
      </c>
    </row>
    <row r="20" spans="1:14">
      <c r="K20" s="11" t="s">
        <v>39</v>
      </c>
    </row>
    <row r="21" spans="1:14">
      <c r="A21" t="s">
        <v>40</v>
      </c>
      <c r="C21" t="s">
        <v>41</v>
      </c>
      <c r="E21">
        <v>10.5</v>
      </c>
      <c r="F21" t="s">
        <v>42</v>
      </c>
      <c r="H21" t="s">
        <v>43</v>
      </c>
      <c r="J21">
        <v>8.5</v>
      </c>
    </row>
    <row r="22" spans="1:14">
      <c r="A22">
        <f>0.927*1.06*4.38</f>
        <v>4.3038756000000005</v>
      </c>
      <c r="C22">
        <f>1.27*1.077*4.38</f>
        <v>5.9909201999999997</v>
      </c>
      <c r="F22">
        <f>1.019*1.162*4.38</f>
        <v>5.1862616399999988</v>
      </c>
      <c r="H22">
        <f>0.93*1.103*4.38</f>
        <v>4.4929601999999997</v>
      </c>
      <c r="K22" t="s">
        <v>44</v>
      </c>
      <c r="L22" t="s">
        <v>45</v>
      </c>
      <c r="M22" t="s">
        <v>46</v>
      </c>
      <c r="N22" t="s">
        <v>47</v>
      </c>
    </row>
    <row r="23" spans="1:14">
      <c r="A23">
        <f>POWER(A22,1.98)/(POWER(A22,1.98)+(POWER(C22,1.98)))</f>
        <v>0.3418988689086554</v>
      </c>
      <c r="C23">
        <v>-163</v>
      </c>
      <c r="F23">
        <f>POWER(F22,1.84)/(POWER(F22,1.84)+(POWER(H22,1.84)))</f>
        <v>0.56562976985900792</v>
      </c>
      <c r="H23">
        <v>-130</v>
      </c>
      <c r="K23">
        <v>6.5</v>
      </c>
      <c r="L23">
        <v>1.67</v>
      </c>
      <c r="M23">
        <v>10</v>
      </c>
      <c r="N23">
        <v>1.95</v>
      </c>
    </row>
    <row r="24" spans="1:14">
      <c r="K24">
        <v>7</v>
      </c>
      <c r="L24">
        <v>1.72</v>
      </c>
      <c r="M24">
        <v>10.5</v>
      </c>
      <c r="N24">
        <v>1.98</v>
      </c>
    </row>
    <row r="25" spans="1:14">
      <c r="A25" t="s">
        <v>48</v>
      </c>
      <c r="C25" t="s">
        <v>49</v>
      </c>
      <c r="E25">
        <v>7</v>
      </c>
      <c r="F25" t="s">
        <v>50</v>
      </c>
      <c r="H25" t="s">
        <v>51</v>
      </c>
      <c r="J25">
        <v>8.5</v>
      </c>
      <c r="K25">
        <v>7.5</v>
      </c>
      <c r="L25">
        <v>1.76</v>
      </c>
      <c r="M25">
        <v>11</v>
      </c>
      <c r="N25">
        <v>2.0099999999999998</v>
      </c>
    </row>
    <row r="26" spans="1:14">
      <c r="A26">
        <f>0.788*0.9612*4.38</f>
        <v>3.3175241280000001</v>
      </c>
      <c r="C26">
        <f>1.091*1.02*4.38</f>
        <v>4.8741515999999994</v>
      </c>
      <c r="F26">
        <f>1.223*0.984*4.38</f>
        <v>5.2710321599999999</v>
      </c>
      <c r="H26">
        <f>0.878*0.99*4.38</f>
        <v>3.8071835999999997</v>
      </c>
      <c r="K26">
        <v>8</v>
      </c>
      <c r="L26">
        <v>1.8</v>
      </c>
      <c r="M26">
        <v>11.5</v>
      </c>
      <c r="N26">
        <v>2.04</v>
      </c>
    </row>
    <row r="27" spans="1:14">
      <c r="A27">
        <f>POWER(A26,1.72)/(POWER(A26,1.72)+(POWER(C26,1.72)))</f>
        <v>0.34035088417389886</v>
      </c>
      <c r="C27">
        <v>-185</v>
      </c>
      <c r="F27">
        <f>POWER(F26,1.84)/(POWER(F26,1.84)+(POWER(H26,1.84)))</f>
        <v>0.64534032659861007</v>
      </c>
      <c r="H27">
        <v>-177</v>
      </c>
      <c r="K27">
        <v>8.5</v>
      </c>
      <c r="L27">
        <v>1.84</v>
      </c>
      <c r="M27">
        <v>12</v>
      </c>
      <c r="N27">
        <v>2.0699999999999998</v>
      </c>
    </row>
    <row r="28" spans="1:14">
      <c r="K28">
        <v>9</v>
      </c>
      <c r="L28">
        <v>1.88</v>
      </c>
      <c r="M28">
        <v>12.5</v>
      </c>
      <c r="N28">
        <v>2.1</v>
      </c>
    </row>
    <row r="29" spans="1:14">
      <c r="A29" t="s">
        <v>52</v>
      </c>
      <c r="C29" t="s">
        <v>53</v>
      </c>
      <c r="E29">
        <v>6.5</v>
      </c>
      <c r="F29" t="s">
        <v>54</v>
      </c>
      <c r="H29" t="s">
        <v>55</v>
      </c>
      <c r="J29">
        <v>8.5</v>
      </c>
      <c r="K29">
        <v>9.5</v>
      </c>
      <c r="L29">
        <v>1.92</v>
      </c>
      <c r="M29">
        <v>13</v>
      </c>
      <c r="N29">
        <v>2.12</v>
      </c>
    </row>
    <row r="30" spans="1:14">
      <c r="A30">
        <f>0.8423*0.96*4.38</f>
        <v>3.5417030399999998</v>
      </c>
      <c r="C30">
        <f>1.154*0.9*4.38</f>
        <v>4.5490680000000001</v>
      </c>
      <c r="F30">
        <f>0.637*0.98*4.38</f>
        <v>2.7342588000000001</v>
      </c>
      <c r="H30">
        <f>1.02*1.054*4.38</f>
        <v>4.7088504000000002</v>
      </c>
    </row>
    <row r="31" spans="1:14">
      <c r="A31">
        <f>POWER(A30,1.67)/(POWER(A30,1.67)+(POWER(C30,1.67)))</f>
        <v>0.39698932307225088</v>
      </c>
      <c r="C31">
        <v>-122</v>
      </c>
      <c r="F31">
        <f>POWER(F30,1.84)/(POWER(F30,1.84)+(POWER(H30,1.84)))</f>
        <v>0.26890338436652617</v>
      </c>
      <c r="H31">
        <v>-230</v>
      </c>
      <c r="L31" t="s">
        <v>56</v>
      </c>
    </row>
    <row r="32" spans="1:14">
      <c r="L32" t="s">
        <v>57</v>
      </c>
      <c r="M32" t="s">
        <v>58</v>
      </c>
    </row>
    <row r="33" spans="6:12">
      <c r="F33" t="s">
        <v>59</v>
      </c>
      <c r="H33" t="s">
        <v>60</v>
      </c>
      <c r="I33">
        <v>9</v>
      </c>
      <c r="L33">
        <v>1</v>
      </c>
    </row>
    <row r="34" spans="6:12">
      <c r="F34">
        <f>1.02*0.96*4.38</f>
        <v>4.2888959999999994</v>
      </c>
      <c r="H34">
        <f>1.18*1.04*4.38</f>
        <v>5.3751360000000004</v>
      </c>
    </row>
    <row r="35" spans="6:12">
      <c r="F35">
        <f>POWER(F34,1.88)/(POWER(F34,1.88)+(POWER(H34,1.88)))</f>
        <v>0.39545992792344115</v>
      </c>
      <c r="H35">
        <v>-150</v>
      </c>
    </row>
  </sheetData>
  <hyperlinks>
    <hyperlink ref="K18" r:id="rId1" xr:uid="{C2946CAD-29FE-4A8E-964B-E5EBF8E25495}"/>
    <hyperlink ref="K19" r:id="rId2" xr:uid="{C4C58789-1A53-4307-90F5-3382F1342B08}"/>
    <hyperlink ref="K20" r:id="rId3" xr:uid="{E50ED701-283F-4BA5-B6D4-7DD49F6BCABA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281-4D7A-45AC-98A0-687F2115C8B5}">
  <dimension ref="A1:V41"/>
  <sheetViews>
    <sheetView tabSelected="1" topLeftCell="A26" workbookViewId="0">
      <selection activeCell="E40" sqref="E40"/>
    </sheetView>
  </sheetViews>
  <sheetFormatPr defaultRowHeight="15"/>
  <cols>
    <col min="1" max="1" width="14.140625" style="16" bestFit="1" customWidth="1"/>
    <col min="2" max="2" width="15.5703125" style="17" bestFit="1" customWidth="1"/>
    <col min="3" max="3" width="14.140625" style="16" bestFit="1" customWidth="1"/>
    <col min="4" max="4" width="11.140625" style="17" bestFit="1" customWidth="1"/>
    <col min="5" max="5" width="14.140625" style="16" bestFit="1" customWidth="1"/>
    <col min="6" max="6" width="15.5703125" style="17" bestFit="1" customWidth="1"/>
    <col min="7" max="7" width="14.140625" style="16" bestFit="1" customWidth="1"/>
    <col min="8" max="8" width="11.28515625" style="17" bestFit="1" customWidth="1"/>
    <col min="9" max="9" width="14.140625" style="16" bestFit="1" customWidth="1"/>
    <col min="10" max="10" width="15.5703125" style="17" bestFit="1" customWidth="1"/>
    <col min="11" max="11" width="14.140625" style="16" bestFit="1" customWidth="1"/>
    <col min="12" max="12" width="11.140625" style="17" bestFit="1" customWidth="1"/>
    <col min="13" max="13" width="11.28515625" style="16" bestFit="1" customWidth="1"/>
    <col min="14" max="14" width="9.140625" style="16"/>
    <col min="15" max="15" width="17.7109375" style="16" bestFit="1" customWidth="1"/>
    <col min="16" max="16384" width="9.140625" style="16"/>
  </cols>
  <sheetData>
    <row r="1" spans="1:22">
      <c r="A1" s="21" t="s">
        <v>61</v>
      </c>
      <c r="B1" s="17" t="s">
        <v>62</v>
      </c>
      <c r="C1" s="21" t="s">
        <v>63</v>
      </c>
      <c r="D1" s="17" t="s">
        <v>64</v>
      </c>
      <c r="E1" s="21" t="s">
        <v>65</v>
      </c>
      <c r="F1" s="17" t="s">
        <v>62</v>
      </c>
      <c r="G1" s="21" t="s">
        <v>66</v>
      </c>
      <c r="H1" s="17" t="s">
        <v>64</v>
      </c>
      <c r="I1" s="21" t="s">
        <v>67</v>
      </c>
      <c r="J1" s="17" t="s">
        <v>62</v>
      </c>
      <c r="K1" s="21" t="s">
        <v>68</v>
      </c>
      <c r="L1" s="17" t="s">
        <v>64</v>
      </c>
      <c r="O1" s="16" t="s">
        <v>69</v>
      </c>
      <c r="P1" s="16" t="s">
        <v>23</v>
      </c>
      <c r="Q1" s="18" t="s">
        <v>70</v>
      </c>
    </row>
    <row r="2" spans="1:22">
      <c r="A2" s="15">
        <f>IF(A1="Diamondbacks",('Offensive Values'!$P$2+'Offensive Values'!$Q$2)/2,IF(A1="Braves",('Offensive Values'!$P$3+'Offensive Values'!$Q$3)/2,IF(A1="Orioles",('Offensive Values'!$P$4+'Offensive Values'!$Q$4)/2,IF(A1="Red Sox",('Offensive Values'!$P$5+'Offensive Values'!$Q$5)/2,IF(A1="Cubs",('Offensive Values'!$P$6+'Offensive Values'!$Q$6)/2,IF(A1="White Sox",('Offensive Values'!$P$7+'Offensive Values'!$Q$7)/2,IF(A1="Reds",('Offensive Values'!$P$8+'Offensive Values'!$Q$8)/2,IF(A1="Indians",('Offensive Values'!$P$9+'Offensive Values'!$Q$9)/2,IF(A1="Rockies",('Offensive Values'!$P$10+'Offensive Values'!$Q$10)/2,IF(A1="Tigers",('Offensive Values'!$P$11+'Offensive Values'!$Q$11)/2,IF(A1="Astros",('Offensive Values'!$P$12+'Offensive Values'!$Q$12)/2,IF(A1="Royals",('Offensive Values'!$P$13+'Offensive Values'!$Q$13)/2,IF(A1="Angels",('Offensive Values'!$P$14+'Offensive Values'!$Q$14)/2,IF(A1="Dodgers",('Offensive Values'!$P$15+'Offensive Values'!$Q$15)/2,IF(A1="Marlins",('Offensive Values'!$P$16+'Offensive Values'!$Q$16)/2,IF(A1="Brewers",('Offensive Values'!$P$17+'Offensive Values'!$Q$17)/2,IF(A1="Twins",('Offensive Values'!$P$18+'Offensive Values'!$Q$18)/2,IF(A1="Mets",('Offensive Values'!$P$19+'Offensive Values'!$Q$19)/2,IF(A1="Yankees",('Offensive Values'!$P$20+'Offensive Values'!$Q$20)/2,IF(A1="Athletics",('Offensive Values'!$P$21+'Offensive Values'!$Q$21)/2,IF(A1="Phillies",('Offensive Values'!$P$22+'Offensive Values'!$Q$22)/2,IF(A1="Pirates",('Offensive Values'!$P$23+'Offensive Values'!$Q$23)/2,IF(A1="Padres",('Offensive Values'!$P$24+'Offensive Values'!$Q$24)/2,IF(A1="Giants",('Offensive Values'!$P$25+'Offensive Values'!$Q$25)/2,IF(A1="Mariners",('Offensive Values'!$P$26+'Offensive Values'!$Q$26)/2,IF(A1="Cardinals",('Offensive Values'!$P$27+'Offensive Values'!$Q$27)/2,IF(A1="Rays",('Offensive Values'!$P$28+'Offensive Values'!$Q$28)/2,IF(A1="Rangers",('Offensive Values'!$P$29+'Offensive Values'!$Q$29)/2,IF(A1="Blue Jays",('Offensive Values'!$P$30+'Offensive Values'!$Q$30)/2,IF(A1="Nationals",('Offensive Values'!$P$31+'Offensive Values'!$Q$31)/2))))))))))))))))))))))))))))))</f>
        <v>0.93178278895742739</v>
      </c>
      <c r="B2" s="17" t="s">
        <v>71</v>
      </c>
      <c r="C2" s="15">
        <f>IF(C1="Diamondbacks",('Offensive Values'!$P$2+'Offensive Values'!$Q$2)/2,IF(C1="Braves",('Offensive Values'!$P$3+'Offensive Values'!$Q$3)/2,IF(C1="Orioles",('Offensive Values'!$P$4+'Offensive Values'!$Q$4)/2,IF(C1="Red Sox",('Offensive Values'!$P$5+'Offensive Values'!$Q$5)/2,IF(C1="Cubs",('Offensive Values'!$P$6+'Offensive Values'!$Q$6)/2,IF(C1="White Sox",('Offensive Values'!$P$7+'Offensive Values'!$Q$7)/2,IF(C1="Reds",('Offensive Values'!$P$8+'Offensive Values'!$Q$8)/2,IF(C1="Indians",('Offensive Values'!$P$9+'Offensive Values'!$Q$9)/2,IF(C1="Rockies",('Offensive Values'!$P$10+'Offensive Values'!$Q$10)/2,IF(C1="Tigers",('Offensive Values'!$P$11+'Offensive Values'!$Q$11)/2,IF(C1="Astros",('Offensive Values'!$P$12+'Offensive Values'!$Q$12)/2,IF(C1="Royals",('Offensive Values'!$P$13+'Offensive Values'!$Q$13)/2,IF(C1="Angels",('Offensive Values'!$P$14+'Offensive Values'!$Q$14)/2,IF(C1="Dodgers",('Offensive Values'!$P$15+'Offensive Values'!$Q$15)/2,IF(C1="Marlins",('Offensive Values'!$P$16+'Offensive Values'!$Q$16)/2,IF(C1="Brewers",('Offensive Values'!$P$17+'Offensive Values'!$Q$17)/2,IF(C1="Twins",('Offensive Values'!$P$18+'Offensive Values'!$Q$18)/2,IF(C1="Mets",('Offensive Values'!$P$19+'Offensive Values'!$Q$19)/2,IF(C1="Yankees",('Offensive Values'!$P$20+'Offensive Values'!$Q$20)/2,IF(C1="Athletics",('Offensive Values'!$P$21+'Offensive Values'!$Q$21)/2,IF(C1="Phillies",('Offensive Values'!$P$22+'Offensive Values'!$Q$22)/2,IF(C1="Pirates",('Offensive Values'!$P$23+'Offensive Values'!$Q$23)/2,IF(C1="Padres",('Offensive Values'!$P$24+'Offensive Values'!$Q$24)/2,IF(C1="Giants",('Offensive Values'!$P$25+'Offensive Values'!$Q$25)/2,IF(C1="Mariners",('Offensive Values'!$P$26+'Offensive Values'!$Q$26)/2,IF(C1="Cardinals",('Offensive Values'!$P$27+'Offensive Values'!$Q$27)/2,IF(C1="Rays",('Offensive Values'!$P$28+'Offensive Values'!$Q$28)/2,IF(C1="Rangers",('Offensive Values'!$P$29+'Offensive Values'!$Q$29)/2,IF(C1="Blue Jays",('Offensive Values'!$P$30+'Offensive Values'!$Q$30)/2,IF(C1="Nationals",('Offensive Values'!$P$31+'Offensive Values'!$Q$31)/2))))))))))))))))))))))))))))))</f>
        <v>0.93160076853069063</v>
      </c>
      <c r="D2" s="16">
        <v>8</v>
      </c>
      <c r="E2" s="15">
        <f>IF(E1="Diamondbacks",('Offensive Values'!$P$2+'Offensive Values'!$Q$2)/2,IF(E1="Braves",('Offensive Values'!$P$3+'Offensive Values'!$Q$3)/2,IF(E1="Orioles",('Offensive Values'!$P$4+'Offensive Values'!$Q$4)/2,IF(E1="Red Sox",('Offensive Values'!$P$5+'Offensive Values'!$Q$5)/2,IF(E1="Cubs",('Offensive Values'!$P$6+'Offensive Values'!$Q$6)/2,IF(E1="White Sox",('Offensive Values'!$P$7+'Offensive Values'!$Q$7)/2,IF(E1="Reds",('Offensive Values'!$P$8+'Offensive Values'!$Q$8)/2,IF(E1="Indians",('Offensive Values'!$P$9+'Offensive Values'!$Q$9)/2,IF(E1="Rockies",('Offensive Values'!$P$10+'Offensive Values'!$Q$10)/2,IF(E1="Tigers",('Offensive Values'!$P$11+'Offensive Values'!$Q$11)/2,IF(E1="Astros",('Offensive Values'!$P$12+'Offensive Values'!$Q$12)/2,IF(E1="Royals",('Offensive Values'!$P$13+'Offensive Values'!$Q$13)/2,IF(E1="Angels",('Offensive Values'!$P$14+'Offensive Values'!$Q$14)/2,IF(E1="Dodgers",('Offensive Values'!$P$15+'Offensive Values'!$Q$15)/2,IF(E1="Marlins",('Offensive Values'!$P$16+'Offensive Values'!$Q$16)/2,IF(E1="Brewers",('Offensive Values'!$P$17+'Offensive Values'!$Q$17)/2,IF(E1="Twins",('Offensive Values'!$P$18+'Offensive Values'!$Q$18)/2,IF(E1="Mets",('Offensive Values'!$P$19+'Offensive Values'!$Q$19)/2,IF(E1="Yankees",('Offensive Values'!$P$20+'Offensive Values'!$Q$20)/2,IF(E1="Athletics",('Offensive Values'!$P$21+'Offensive Values'!$Q$21)/2,IF(E1="Phillies",('Offensive Values'!$P$22+'Offensive Values'!$Q$22)/2,IF(E1="Pirates",('Offensive Values'!$P$23+'Offensive Values'!$Q$23)/2,IF(E1="Padres",('Offensive Values'!$P$24+'Offensive Values'!$Q$24)/2,IF(E1="Giants",('Offensive Values'!$P$25+'Offensive Values'!$Q$25)/2,IF(E1="Mariners",('Offensive Values'!$P$26+'Offensive Values'!$Q$26)/2,IF(E1="Cardinals",('Offensive Values'!$P$27+'Offensive Values'!$Q$27)/2,IF(E1="Rays",('Offensive Values'!$P$28+'Offensive Values'!$Q$28)/2,IF(E1="Rangers",('Offensive Values'!$P$29+'Offensive Values'!$Q$29)/2,IF(E1="Blue Jays",('Offensive Values'!$P$30+'Offensive Values'!$Q$30)/2,IF(E1="Nationals",('Offensive Values'!$P$31+'Offensive Values'!$Q$31)/2))))))))))))))))))))))))))))))</f>
        <v>1.0446152290423703</v>
      </c>
      <c r="F2" s="17" t="s">
        <v>71</v>
      </c>
      <c r="G2" s="15">
        <f>IF(G1="Diamondbacks",('Offensive Values'!$P$2+'Offensive Values'!$Q$2)/2,IF(G1="Braves",('Offensive Values'!$P$3+'Offensive Values'!$Q$3)/2,IF(G1="Orioles",('Offensive Values'!$P$4+'Offensive Values'!$Q$4)/2,IF(G1="Red Sox",('Offensive Values'!$P$5+'Offensive Values'!$Q$5)/2,IF(G1="Cubs",('Offensive Values'!$P$6+'Offensive Values'!$Q$6)/2,IF(G1="White Sox",('Offensive Values'!$P$7+'Offensive Values'!$Q$7)/2,IF(G1="Reds",('Offensive Values'!$P$8+'Offensive Values'!$Q$8)/2,IF(G1="Indians",('Offensive Values'!$P$9+'Offensive Values'!$Q$9)/2,IF(G1="Rockies",('Offensive Values'!$P$10+'Offensive Values'!$Q$10)/2,IF(G1="Tigers",('Offensive Values'!$P$11+'Offensive Values'!$Q$11)/2,IF(G1="Astros",('Offensive Values'!$P$12+'Offensive Values'!$Q$12)/2,IF(G1="Royals",('Offensive Values'!$P$13+'Offensive Values'!$Q$13)/2,IF(G1="Angels",('Offensive Values'!$P$14+'Offensive Values'!$Q$14)/2,IF(G1="Dodgers",('Offensive Values'!$P$15+'Offensive Values'!$Q$15)/2,IF(G1="Marlins",('Offensive Values'!$P$16+'Offensive Values'!$Q$16)/2,IF(G1="Brewers",('Offensive Values'!$P$17+'Offensive Values'!$Q$17)/2,IF(G1="Twins",('Offensive Values'!$P$18+'Offensive Values'!$Q$18)/2,IF(G1="Mets",('Offensive Values'!$P$19+'Offensive Values'!$Q$19)/2,IF(G1="Yankees",('Offensive Values'!$P$20+'Offensive Values'!$Q$20)/2,IF(G1="Athletics",('Offensive Values'!$P$21+'Offensive Values'!$Q$21)/2,IF(G1="Phillies",('Offensive Values'!$P$22+'Offensive Values'!$Q$22)/2,IF(G1="Pirates",('Offensive Values'!$P$23+'Offensive Values'!$Q$23)/2,IF(G1="Padres",('Offensive Values'!$P$24+'Offensive Values'!$Q$24)/2,IF(G1="Giants",('Offensive Values'!$P$25+'Offensive Values'!$Q$25)/2,IF(G1="Mariners",('Offensive Values'!$P$26+'Offensive Values'!$Q$26)/2,IF(G1="Cardinals",('Offensive Values'!$P$27+'Offensive Values'!$Q$27)/2,IF(G1="Rays",('Offensive Values'!$P$28+'Offensive Values'!$Q$28)/2,IF(G1="Rangers",('Offensive Values'!$P$29+'Offensive Values'!$Q$29)/2,IF(G1="Blue Jays",('Offensive Values'!$P$30+'Offensive Values'!$Q$30)/2,IF(G1="Nationals",('Offensive Values'!$P$31+'Offensive Values'!$Q$31)/2))))))))))))))))))))))))))))))</f>
        <v>1.0139245626453635</v>
      </c>
      <c r="H2" s="16">
        <v>9</v>
      </c>
      <c r="I2" s="15">
        <f>IF(I1="Diamondbacks",('Offensive Values'!$P$2+'Offensive Values'!$Q$2)/2,IF(I1="Braves",('Offensive Values'!$P$3+'Offensive Values'!$Q$3)/2,IF(I1="Orioles",('Offensive Values'!$P$4+'Offensive Values'!$Q$4)/2,IF(I1="Red Sox",('Offensive Values'!$P$5+'Offensive Values'!$Q$5)/2,IF(I1="Cubs",('Offensive Values'!$P$6+'Offensive Values'!$Q$6)/2,IF(I1="White Sox",('Offensive Values'!$P$7+'Offensive Values'!$Q$7)/2,IF(I1="Reds",('Offensive Values'!$P$8+'Offensive Values'!$Q$8)/2,IF(I1="Indians",('Offensive Values'!$P$9+'Offensive Values'!$Q$9)/2,IF(I1="Rockies",('Offensive Values'!$P$10+'Offensive Values'!$Q$10)/2,IF(I1="Tigers",('Offensive Values'!$P$11+'Offensive Values'!$Q$11)/2,IF(I1="Astros",('Offensive Values'!$P$12+'Offensive Values'!$Q$12)/2,IF(I1="Royals",('Offensive Values'!$P$13+'Offensive Values'!$Q$13)/2,IF(I1="Angels",('Offensive Values'!$P$14+'Offensive Values'!$Q$14)/2,IF(I1="Dodgers",('Offensive Values'!$P$15+'Offensive Values'!$Q$15)/2,IF(I1="Marlins",('Offensive Values'!$P$16+'Offensive Values'!$Q$16)/2,IF(I1="Brewers",('Offensive Values'!$P$17+'Offensive Values'!$Q$17)/2,IF(I1="Twins",('Offensive Values'!$P$18+'Offensive Values'!$Q$18)/2,IF(I1="Mets",('Offensive Values'!$P$19+'Offensive Values'!$Q$19)/2,IF(I1="Yankees",('Offensive Values'!$P$20+'Offensive Values'!$Q$20)/2,IF(I1="Athletics",('Offensive Values'!$P$21+'Offensive Values'!$Q$21)/2,IF(I1="Phillies",('Offensive Values'!$P$22+'Offensive Values'!$Q$22)/2,IF(I1="Pirates",('Offensive Values'!$P$23+'Offensive Values'!$Q$23)/2,IF(I1="Padres",('Offensive Values'!$P$24+'Offensive Values'!$Q$24)/2,IF(I1="Giants",('Offensive Values'!$P$25+'Offensive Values'!$Q$25)/2,IF(I1="Mariners",('Offensive Values'!$P$26+'Offensive Values'!$Q$26)/2,IF(I1="Cardinals",('Offensive Values'!$P$27+'Offensive Values'!$Q$27)/2,IF(I1="Rays",('Offensive Values'!$P$28+'Offensive Values'!$Q$28)/2,IF(I1="Rangers",('Offensive Values'!$P$29+'Offensive Values'!$Q$29)/2,IF(I1="Blue Jays",('Offensive Values'!$P$30+'Offensive Values'!$Q$30)/2,IF(I1="Nationals",('Offensive Values'!$P$31+'Offensive Values'!$Q$31)/2))))))))))))))))))))))))))))))</f>
        <v>1.0157194862979066</v>
      </c>
      <c r="J2" s="17" t="s">
        <v>71</v>
      </c>
      <c r="K2" s="15">
        <f>IF(K1="Diamondbacks",('Offensive Values'!$P$2+'Offensive Values'!$Q$2)/2,IF(K1="Braves",('Offensive Values'!$P$3+'Offensive Values'!$Q$3)/2,IF(K1="Orioles",('Offensive Values'!$P$4+'Offensive Values'!$Q$4)/2,IF(K1="Red Sox",('Offensive Values'!$P$5+'Offensive Values'!$Q$5)/2,IF(K1="Cubs",('Offensive Values'!$P$6+'Offensive Values'!$Q$6)/2,IF(K1="White Sox",('Offensive Values'!$P$7+'Offensive Values'!$Q$7)/2,IF(K1="Reds",('Offensive Values'!$P$8+'Offensive Values'!$Q$8)/2,IF(K1="Indians",('Offensive Values'!$P$9+'Offensive Values'!$Q$9)/2,IF(K1="Rockies",('Offensive Values'!$P$10+'Offensive Values'!$Q$10)/2,IF(K1="Tigers",('Offensive Values'!$P$11+'Offensive Values'!$Q$11)/2,IF(K1="Astros",('Offensive Values'!$P$12+'Offensive Values'!$Q$12)/2,IF(K1="Royals",('Offensive Values'!$P$13+'Offensive Values'!$Q$13)/2,IF(K1="Angels",('Offensive Values'!$P$14+'Offensive Values'!$Q$14)/2,IF(K1="Dodgers",('Offensive Values'!$P$15+'Offensive Values'!$Q$15)/2,IF(K1="Marlins",('Offensive Values'!$P$16+'Offensive Values'!$Q$16)/2,IF(K1="Brewers",('Offensive Values'!$P$17+'Offensive Values'!$Q$17)/2,IF(K1="Twins",('Offensive Values'!$P$18+'Offensive Values'!$Q$18)/2,IF(K1="Mets",('Offensive Values'!$P$19+'Offensive Values'!$Q$19)/2,IF(K1="Yankees",('Offensive Values'!$P$20+'Offensive Values'!$Q$20)/2,IF(K1="Athletics",('Offensive Values'!$P$21+'Offensive Values'!$Q$21)/2,IF(K1="Phillies",('Offensive Values'!$P$22+'Offensive Values'!$Q$22)/2,IF(K1="Pirates",('Offensive Values'!$P$23+'Offensive Values'!$Q$23)/2,IF(K1="Padres",('Offensive Values'!$P$24+'Offensive Values'!$Q$24)/2,IF(K1="Giants",('Offensive Values'!$P$25+'Offensive Values'!$Q$25)/2,IF(K1="Mariners",('Offensive Values'!$P$26+'Offensive Values'!$Q$26)/2,IF(K1="Cardinals",('Offensive Values'!$P$27+'Offensive Values'!$Q$27)/2,IF(K1="Rays",('Offensive Values'!$P$28+'Offensive Values'!$Q$28)/2,IF(K1="Rangers",('Offensive Values'!$P$29+'Offensive Values'!$Q$29)/2,IF(K1="Blue Jays",('Offensive Values'!$P$30+'Offensive Values'!$Q$30)/2,IF(K1="Nationals",('Offensive Values'!$P$31+'Offensive Values'!$Q$31)/2))))))))))))))))))))))))))))))</f>
        <v>0.97944180402467385</v>
      </c>
      <c r="L2" s="16">
        <v>7</v>
      </c>
      <c r="O2" s="16" t="s">
        <v>72</v>
      </c>
      <c r="P2" s="16">
        <v>105</v>
      </c>
      <c r="Q2" s="18">
        <f>(0.51*1.05)-(0.49*1)</f>
        <v>4.5500000000000096E-2</v>
      </c>
    </row>
    <row r="3" spans="1:22">
      <c r="A3" s="19">
        <f>AVERAGE('Starting Pitchers'!B31:E31)*(6/9)</f>
        <v>2.1416666666666666</v>
      </c>
      <c r="B3" s="17" t="s">
        <v>73</v>
      </c>
      <c r="C3" s="19">
        <f>AVERAGE('Starting Pitchers'!B112:E112)*(6/9)</f>
        <v>3.4883333333333333</v>
      </c>
      <c r="D3" s="17" t="s">
        <v>45</v>
      </c>
      <c r="E3" s="19">
        <f>AVERAGE(4.01,3.32,2.33,3.56)*(6/9)</f>
        <v>2.2033333333333331</v>
      </c>
      <c r="F3" s="17" t="s">
        <v>73</v>
      </c>
      <c r="G3" s="19">
        <f>AVERAGE(3.5)*(6/9)</f>
        <v>2.333333333333333</v>
      </c>
      <c r="H3" s="17" t="s">
        <v>45</v>
      </c>
      <c r="I3" s="19">
        <f>AVERAGE('Starting Pitchers'!B106:E106)*(6/9)</f>
        <v>1.8816666666666664</v>
      </c>
      <c r="J3" s="17" t="s">
        <v>73</v>
      </c>
      <c r="K3" s="19">
        <f>AVERAGE('Starting Pitchers'!B154:E154)*(6/9)</f>
        <v>1.7233333333333332</v>
      </c>
      <c r="L3" s="17" t="s">
        <v>45</v>
      </c>
      <c r="M3" s="16" t="s">
        <v>74</v>
      </c>
      <c r="O3" s="16" t="s">
        <v>75</v>
      </c>
      <c r="P3" s="16">
        <v>-110</v>
      </c>
      <c r="Q3" s="18">
        <f>(0.6*0.909)-(0.4*1)</f>
        <v>0.14539999999999997</v>
      </c>
      <c r="S3"/>
      <c r="T3"/>
      <c r="U3"/>
      <c r="V3"/>
    </row>
    <row r="4" spans="1:22">
      <c r="A4" s="19">
        <f>IF(A1="Diamondbacks", AVERAGE('Bullpen Values'!$K$5:$N$5)*(3/9), IF(A1="Braves",AVERAGE('Bullpen Values'!$K$6:$N$6)*(3/9),IF(A1="Orioles",AVERAGE('Bullpen Values'!$K$7:$N$7)*(3/9),IF(A1="Red Sox",AVERAGE('Bullpen Values'!$K$8:$N$8)*(3/9),IF(A1="Cubs",AVERAGE('Bullpen Values'!$K$9:$N$9)*(3/9),IF(A1="White Sox",AVERAGE('Bullpen Values'!$K$10:$N$10)*(3/9),IF(A1="Reds",AVERAGE('Bullpen Values'!$K$11:$N$11)*(3/9),IF(A1="Indians",AVERAGE('Bullpen Values'!$K$12:$N$12)*(3/9),IF(A1="Rockies",AVERAGE('Bullpen Values'!$K$13:$N$13)*(3/9),IF(A1="Tigers",AVERAGE('Bullpen Values'!$K$14:$N$14)*(3/9),IF(A1="Astros",AVERAGE('Bullpen Values'!$K$15:$N$15)*(3/9),IF(A1="Royals",AVERAGE('Bullpen Values'!$K$16:$N$16)*(3/9),IF(A1="Angels",AVERAGE('Bullpen Values'!$K$17:$N$17)*(3/9),IF(A1="Dodgers",AVERAGE('Bullpen Values'!$K$18:$N$18)*(3/9),IF(A1="Marlins",AVERAGE('Bullpen Values'!$K$19:$N$19)*(3/9),IF(A1="Brewers",AVERAGE('Bullpen Values'!$K$20:$N$20)*(3/9),IF(A1="Twins",AVERAGE('Bullpen Values'!$K$21:$N$21)*(3/9),IF(A1="Mets",AVERAGE('Bullpen Values'!$K$22:$N$22)*(3/9),IF(A1="Yankees",AVERAGE('Bullpen Values'!$K$23:$N$23)*(3/9),IF(A1="Athletics",AVERAGE('Bullpen Values'!$K$24:$N$24)*(3/9),IF(A1="Phillies",AVERAGE('Bullpen Values'!$K$25:$N$25)*(3/9),IF(A1="Pirates",AVERAGE('Bullpen Values'!$K$26:$N$26)*(3/9),IF(A1="Padres",AVERAGE('Bullpen Values'!$K$27:$N$27)*(3/9),IF(A1="Giants",AVERAGE('Bullpen Values'!$K$28:$N$28)*(3/9),IF(A1="Mariners",AVERAGE('Bullpen Values'!$K$29:$N$29)*(3/9),IF(A1="Cardinals",AVERAGE('Bullpen Values'!$K$30:$N$30)*(3/9),IF(A1="Rays",AVERAGE('Bullpen Values'!$K$31:$N$31)*(3/9),IF(A1="Rangers",AVERAGE('Bullpen Values'!$K$32:$N$32)*(3/9),IF(A1="Blue Jays",AVERAGE('Bullpen Values'!$K$33:$N$33)*(3/9),IF(A1="Nationals",AVERAGE('Bullpen Values'!$K$34:$N$34)*(3/9)))))))))))))))))))))))))))))))</f>
        <v>1.2244444444444444</v>
      </c>
      <c r="B4" s="17" t="s">
        <v>76</v>
      </c>
      <c r="C4" s="19">
        <f>IF(C1="Diamondbacks", AVERAGE('Bullpen Values'!$K$5:$N$5)*(3/9), IF(C1="Braves",AVERAGE('Bullpen Values'!$K$6:$N$6)*(3/9),IF(C1="Orioles",AVERAGE('Bullpen Values'!$K$7:$N$7)*(3/9),IF(C1="Red Sox",AVERAGE('Bullpen Values'!$K$8:$N$8)*(3/9),IF(C1="Cubs",AVERAGE('Bullpen Values'!$K$9:$N$9)*(3/9),IF(C1="White Sox",AVERAGE('Bullpen Values'!$K$10:$N$10)*(3/9),IF(C1="Reds",AVERAGE('Bullpen Values'!$K$11:$N$11)*(3/9),IF(C1="Indians",AVERAGE('Bullpen Values'!$K$12:$N$12)*(3/9),IF(C1="Rockies",AVERAGE('Bullpen Values'!$K$13:$N$13)*(3/9),IF(C1="Tigers",AVERAGE('Bullpen Values'!$K$14:$N$14)*(3/9),IF(C1="Astros",AVERAGE('Bullpen Values'!$K$15:$N$15)*(3/9),IF(C1="Royals",AVERAGE('Bullpen Values'!$K$16:$N$16)*(3/9),IF(C1="Angels",AVERAGE('Bullpen Values'!$K$17:$N$17)*(3/9),IF(C1="Dodgers",AVERAGE('Bullpen Values'!$K$18:$N$18)*(3/9),IF(C1="Marlins",AVERAGE('Bullpen Values'!$K$19:$N$19)*(3/9),IF(C1="Brewers",AVERAGE('Bullpen Values'!$K$20:$N$20)*(3/9),IF(C1="Twins",AVERAGE('Bullpen Values'!$K$21:$N$21)*(3/9),IF(C1="Mets",AVERAGE('Bullpen Values'!$K$22:$N$22)*(3/9),IF(C1="Yankees",AVERAGE('Bullpen Values'!$K$23:$N$23)*(3/9),IF(C1="Athletics",AVERAGE('Bullpen Values'!$K$24:$N$24)*(3/9),IF(C1="Phillies",AVERAGE('Bullpen Values'!$K$25:$N$25)*(3/9),IF(C1="Pirates",AVERAGE('Bullpen Values'!$K$26:$N$26)*(3/9),IF(C1="Padres",AVERAGE('Bullpen Values'!$K$27:$N$27)*(3/9),IF(C1="Giants",AVERAGE('Bullpen Values'!$K$28:$N$28)*(3/9),IF(C1="Mariners",AVERAGE('Bullpen Values'!$K$29:$N$29)*(3/9),IF(C1="Cardinals",AVERAGE('Bullpen Values'!$K$30:$N$30)*(3/9),IF(C1="Rays",AVERAGE('Bullpen Values'!$K$31:$N$31)*(3/9),IF(C1="Rangers",AVERAGE('Bullpen Values'!$K$32:$N$32)*(3/9),IF(C1="Blue Jays",AVERAGE('Bullpen Values'!$K$33:$N$33)*(3/9),IF(C1="Nationals",AVERAGE('Bullpen Values'!$K$34:$N$34)*(3/9)))))))))))))))))))))))))))))))</f>
        <v>1.3499999999999999</v>
      </c>
      <c r="D4" s="16">
        <f>IF(D2=6.5,1.67,IF(D2=7,1.72,IF(D2=7.5,1.76,IF(D2=8,1.8,IF(D2=8.5,1.84,IF(D2=9,1.88,IF(D2=9.5,1.92,IF(D2=10,1.95,IF(D2=10.5,1.98,IF(D2=11,2.01,IF(D2=11.5,2.04,IF(D2=12,2.07,IF(D2=12.5,2.1,IF(D2=13,2.12))))))))))))))</f>
        <v>1.8</v>
      </c>
      <c r="E4" s="19">
        <f>IF(E1="Diamondbacks", AVERAGE('Bullpen Values'!$K$5:$N$5)*(3/9), IF(E1="Braves",AVERAGE('Bullpen Values'!$K$6:$N$6)*(3/9),IF(E1="Orioles",AVERAGE('Bullpen Values'!$K$7:$N$7)*(3/9),IF(E1="Red Sox",AVERAGE('Bullpen Values'!$K$8:$N$8)*(3/9),IF(E1="Cubs",AVERAGE('Bullpen Values'!$K$9:$N$9)*(3/9),IF(E1="White Sox",AVERAGE('Bullpen Values'!$K$10:$N$10)*(3/9),IF(E1="Reds",AVERAGE('Bullpen Values'!$K$11:$N$11)*(3/9),IF(E1="Indians",AVERAGE('Bullpen Values'!$K$12:$N$12)*(3/9),IF(E1="Rockies",AVERAGE('Bullpen Values'!$K$13:$N$13)*(3/9),IF(E1="Tigers",AVERAGE('Bullpen Values'!$K$14:$N$14)*(3/9),IF(E1="Astros",AVERAGE('Bullpen Values'!$K$15:$N$15)*(3/9),IF(E1="Royals",AVERAGE('Bullpen Values'!$K$16:$N$16)*(3/9),IF(E1="Angels",AVERAGE('Bullpen Values'!$K$17:$N$17)*(3/9),IF(E1="Dodgers",AVERAGE('Bullpen Values'!$K$18:$N$18)*(3/9),IF(E1="Marlins",AVERAGE('Bullpen Values'!$K$19:$N$19)*(3/9),IF(E1="Brewers",AVERAGE('Bullpen Values'!$K$20:$N$20)*(3/9),IF(E1="Twins",AVERAGE('Bullpen Values'!$K$21:$N$21)*(3/9),IF(E1="Mets",AVERAGE('Bullpen Values'!$K$22:$N$22)*(3/9),IF(E1="Yankees",AVERAGE('Bullpen Values'!$K$23:$N$23)*(3/9),IF(E1="Athletics",AVERAGE('Bullpen Values'!$K$24:$N$24)*(3/9),IF(E1="Phillies",AVERAGE('Bullpen Values'!$K$25:$N$25)*(3/9),IF(E1="Pirates",AVERAGE('Bullpen Values'!$K$26:$N$26)*(3/9),IF(E1="Padres",AVERAGE('Bullpen Values'!$K$27:$N$27)*(3/9),IF(E1="Giants",AVERAGE('Bullpen Values'!$K$28:$N$28)*(3/9),IF(E1="Mariners",AVERAGE('Bullpen Values'!$K$29:$N$29)*(3/9),IF(E1="Cardinals",AVERAGE('Bullpen Values'!$K$30:$N$30)*(3/9),IF(E1="Rays",AVERAGE('Bullpen Values'!$K$31:$N$31)*(3/9),IF(E1="Rangers",AVERAGE('Bullpen Values'!$K$32:$N$32)*(3/9),IF(E1="Blue Jays",AVERAGE('Bullpen Values'!$K$33:$N$33)*(3/9),IF(E1="Nationals",AVERAGE('Bullpen Values'!$K$34:$N$34)*(3/9)))))))))))))))))))))))))))))))</f>
        <v>1.2366666666666664</v>
      </c>
      <c r="F4" s="17" t="s">
        <v>76</v>
      </c>
      <c r="G4" s="19">
        <f>IF(G1="Diamondbacks", AVERAGE('Bullpen Values'!$K$5:$N$5)*(3/9), IF(G1="Braves",AVERAGE('Bullpen Values'!$K$6:$N$6)*(3/9),IF(G1="Orioles",AVERAGE('Bullpen Values'!$K$7:$N$7)*(3/9),IF(G1="Red Sox",AVERAGE('Bullpen Values'!$K$8:$N$8)*(3/9),IF(G1="Cubs",AVERAGE('Bullpen Values'!$K$9:$N$9)*(3/9),IF(G1="White Sox",AVERAGE('Bullpen Values'!$K$10:$N$10)*(3/9),IF(G1="Reds",AVERAGE('Bullpen Values'!$K$11:$N$11)*(3/9),IF(G1="Indians",AVERAGE('Bullpen Values'!$K$12:$N$12)*(3/9),IF(G1="Rockies",AVERAGE('Bullpen Values'!$K$13:$N$13)*(3/9),IF(G1="Tigers",AVERAGE('Bullpen Values'!$K$14:$N$14)*(3/9),IF(G1="Astros",AVERAGE('Bullpen Values'!$K$15:$N$15)*(3/9),IF(G1="Royals",AVERAGE('Bullpen Values'!$K$16:$N$16)*(3/9),IF(G1="Angels",AVERAGE('Bullpen Values'!$K$17:$N$17)*(3/9),IF(G1="Dodgers",AVERAGE('Bullpen Values'!$K$18:$N$18)*(3/9),IF(G1="Marlins",AVERAGE('Bullpen Values'!$K$19:$N$19)*(3/9),IF(G1="Brewers",AVERAGE('Bullpen Values'!$K$20:$N$20)*(3/9),IF(G1="Twins",AVERAGE('Bullpen Values'!$K$21:$N$21)*(3/9),IF(G1="Mets",AVERAGE('Bullpen Values'!$K$22:$N$22)*(3/9),IF(G1="Yankees",AVERAGE('Bullpen Values'!$K$23:$N$23)*(3/9),IF(G1="Athletics",AVERAGE('Bullpen Values'!$K$24:$N$24)*(3/9),IF(G1="Phillies",AVERAGE('Bullpen Values'!$K$25:$N$25)*(3/9),IF(G1="Pirates",AVERAGE('Bullpen Values'!$K$26:$N$26)*(3/9),IF(G1="Padres",AVERAGE('Bullpen Values'!$K$27:$N$27)*(3/9),IF(G1="Giants",AVERAGE('Bullpen Values'!$K$28:$N$28)*(3/9),IF(G1="Mariners",AVERAGE('Bullpen Values'!$K$29:$N$29)*(3/9),IF(G1="Cardinals",AVERAGE('Bullpen Values'!$K$30:$N$30)*(3/9),IF(G1="Rays",AVERAGE('Bullpen Values'!$K$31:$N$31)*(3/9),IF(G1="Rangers",AVERAGE('Bullpen Values'!$K$32:$N$32)*(3/9),IF(G1="Blue Jays",AVERAGE('Bullpen Values'!$K$33:$N$33)*(3/9),IF(G1="Nationals",AVERAGE('Bullpen Values'!$K$34:$N$34)*(3/9)))))))))))))))))))))))))))))))</f>
        <v>1.1111111111111112</v>
      </c>
      <c r="H4" s="16">
        <f>IF(H2=6.5,1.67,IF(H2=7,1.72,IF(H2=7.5,1.76,IF(H2=8,1.8,IF(H2=8.5,1.84,IF(H2=9,1.88,IF(H2=9.5,1.92,IF(H2=10,1.95,IF(H2=10.5,1.98,IF(H2=11,2.01,IF(H2=11.5,2.04,IF(H2=12,2.07,IF(H2=12.5,2.1,IF(H2=13,2.12))))))))))))))</f>
        <v>1.88</v>
      </c>
      <c r="I4" s="19">
        <f>IF(I1="Diamondbacks", AVERAGE('Bullpen Values'!$K$5:$N$5)*(3/9), IF(I1="Braves",AVERAGE('Bullpen Values'!$K$6:$N$6)*(3/9),IF(I1="Orioles",AVERAGE('Bullpen Values'!$K$7:$N$7)*(3/9),IF(I1="Red Sox",AVERAGE('Bullpen Values'!$K$8:$N$8)*(3/9),IF(I1="Cubs",AVERAGE('Bullpen Values'!$K$9:$N$9)*(3/9),IF(I1="White Sox",AVERAGE('Bullpen Values'!$K$10:$N$10)*(3/9),IF(I1="Reds",AVERAGE('Bullpen Values'!$K$11:$N$11)*(3/9),IF(I1="Indians",AVERAGE('Bullpen Values'!$K$12:$N$12)*(3/9),IF(I1="Rockies",AVERAGE('Bullpen Values'!$K$13:$N$13)*(3/9),IF(I1="Tigers",AVERAGE('Bullpen Values'!$K$14:$N$14)*(3/9),IF(I1="Astros",AVERAGE('Bullpen Values'!$K$15:$N$15)*(3/9),IF(I1="Royals",AVERAGE('Bullpen Values'!$K$16:$N$16)*(3/9),IF(I1="Angels",AVERAGE('Bullpen Values'!$K$17:$N$17)*(3/9),IF(I1="Dodgers",AVERAGE('Bullpen Values'!$K$18:$N$18)*(3/9),IF(I1="Marlins",AVERAGE('Bullpen Values'!$K$19:$N$19)*(3/9),IF(I1="Brewers",AVERAGE('Bullpen Values'!$K$20:$N$20)*(3/9),IF(I1="Twins",AVERAGE('Bullpen Values'!$K$21:$N$21)*(3/9),IF(I1="Mets",AVERAGE('Bullpen Values'!$K$22:$N$22)*(3/9),IF(I1="Yankees",AVERAGE('Bullpen Values'!$K$23:$N$23)*(3/9),IF(I1="Athletics",AVERAGE('Bullpen Values'!$K$24:$N$24)*(3/9),IF(I1="Phillies",AVERAGE('Bullpen Values'!$K$25:$N$25)*(3/9),IF(I1="Pirates",AVERAGE('Bullpen Values'!$K$26:$N$26)*(3/9),IF(I1="Padres",AVERAGE('Bullpen Values'!$K$27:$N$27)*(3/9),IF(I1="Giants",AVERAGE('Bullpen Values'!$K$28:$N$28)*(3/9),IF(I1="Mariners",AVERAGE('Bullpen Values'!$K$29:$N$29)*(3/9),IF(I1="Cardinals",AVERAGE('Bullpen Values'!$K$30:$N$30)*(3/9),IF(I1="Rays",AVERAGE('Bullpen Values'!$K$31:$N$31)*(3/9),IF(I1="Rangers",AVERAGE('Bullpen Values'!$K$32:$N$32)*(3/9),IF(I1="Blue Jays",AVERAGE('Bullpen Values'!$K$33:$N$33)*(3/9),IF(I1="Nationals",AVERAGE('Bullpen Values'!$K$34:$N$34)*(3/9)))))))))))))))))))))))))))))))</f>
        <v>1.372222222222222</v>
      </c>
      <c r="J4" s="17" t="s">
        <v>76</v>
      </c>
      <c r="K4" s="19">
        <f>IF(K1="Diamondbacks", AVERAGE('Bullpen Values'!$K$5:$N$5)*(3/9), IF(K1="Braves",AVERAGE('Bullpen Values'!$K$6:$N$6)*(3/9),IF(K1="Orioles",AVERAGE('Bullpen Values'!$K$7:$N$7)*(3/9),IF(K1="Red Sox",AVERAGE('Bullpen Values'!$K$8:$N$8)*(3/9),IF(K1="Cubs",AVERAGE('Bullpen Values'!$K$9:$N$9)*(3/9),IF(K1="White Sox",AVERAGE('Bullpen Values'!$K$10:$N$10)*(3/9),IF(K1="Reds",AVERAGE('Bullpen Values'!$K$11:$N$11)*(3/9),IF(K1="Indians",AVERAGE('Bullpen Values'!$K$12:$N$12)*(3/9),IF(K1="Rockies",AVERAGE('Bullpen Values'!$K$13:$N$13)*(3/9),IF(K1="Tigers",AVERAGE('Bullpen Values'!$K$14:$N$14)*(3/9),IF(K1="Astros",AVERAGE('Bullpen Values'!$K$15:$N$15)*(3/9),IF(K1="Royals",AVERAGE('Bullpen Values'!$K$16:$N$16)*(3/9),IF(K1="Angels",AVERAGE('Bullpen Values'!$K$17:$N$17)*(3/9),IF(K1="Dodgers",AVERAGE('Bullpen Values'!$K$18:$N$18)*(3/9),IF(K1="Marlins",AVERAGE('Bullpen Values'!$K$19:$N$19)*(3/9),IF(K1="Brewers",AVERAGE('Bullpen Values'!$K$20:$N$20)*(3/9),IF(K1="Twins",AVERAGE('Bullpen Values'!$K$21:$N$21)*(3/9),IF(K1="Mets",AVERAGE('Bullpen Values'!$K$22:$N$22)*(3/9),IF(K1="Yankees",AVERAGE('Bullpen Values'!$K$23:$N$23)*(3/9),IF(K1="Athletics",AVERAGE('Bullpen Values'!$K$24:$N$24)*(3/9),IF(K1="Phillies",AVERAGE('Bullpen Values'!$K$25:$N$25)*(3/9),IF(K1="Pirates",AVERAGE('Bullpen Values'!$K$26:$N$26)*(3/9),IF(K1="Padres",AVERAGE('Bullpen Values'!$K$27:$N$27)*(3/9),IF(K1="Giants",AVERAGE('Bullpen Values'!$K$28:$N$28)*(3/9),IF(K1="Mariners",AVERAGE('Bullpen Values'!$K$29:$N$29)*(3/9),IF(K1="Cardinals",AVERAGE('Bullpen Values'!$K$30:$N$30)*(3/9),IF(K1="Rays",AVERAGE('Bullpen Values'!$K$31:$N$31)*(3/9),IF(K1="Rangers",AVERAGE('Bullpen Values'!$K$32:$N$32)*(3/9),IF(K1="Blue Jays",AVERAGE('Bullpen Values'!$K$33:$N$33)*(3/9),IF(K1="Nationals",AVERAGE('Bullpen Values'!$K$34:$N$34)*(3/9)))))))))))))))))))))))))))))))</f>
        <v>1.4811111111111113</v>
      </c>
      <c r="L4" s="16">
        <f>IF(L2=6.5,1.67,IF(L2=7,1.72,IF(L2=7.5,1.76,IF(L2=8,1.8,IF(L2=8.5,1.84,IF(L2=9,1.88,IF(L2=9.5,1.92,IF(L2=10,1.95,IF(L2=10.5,1.98,IF(L2=11,2.01,IF(L2=11.5,2.04,IF(L2=12,2.07,IF(L2=12.5,2.1,IF(L2=13,2.12))))))))))))))</f>
        <v>1.72</v>
      </c>
      <c r="M4" s="16">
        <v>4.05</v>
      </c>
      <c r="O4" s="16" t="s">
        <v>77</v>
      </c>
      <c r="P4" s="16">
        <v>-132</v>
      </c>
      <c r="Q4" s="18">
        <f>(0.58*0.7)-(0.42*1)</f>
        <v>-1.4000000000000012E-2</v>
      </c>
      <c r="S4"/>
      <c r="T4"/>
      <c r="U4"/>
      <c r="V4"/>
    </row>
    <row r="5" spans="1:22">
      <c r="A5" s="15">
        <f>(A3+A4)/$M$4</f>
        <v>0.83113854595336079</v>
      </c>
      <c r="B5" s="17" t="s">
        <v>78</v>
      </c>
      <c r="C5" s="15">
        <f>(C3+C4)/$M$4</f>
        <v>1.1946502057613169</v>
      </c>
      <c r="D5" s="16"/>
      <c r="E5" s="15">
        <f>(E3+E4)/$M$4</f>
        <v>0.84938271604938265</v>
      </c>
      <c r="F5" s="17" t="s">
        <v>78</v>
      </c>
      <c r="G5" s="15">
        <f>(G3+G4)/$M$4</f>
        <v>0.85048010973936894</v>
      </c>
      <c r="I5" s="15">
        <f>(I3+I4)/$M$4</f>
        <v>0.80342935528120707</v>
      </c>
      <c r="J5" s="17" t="s">
        <v>78</v>
      </c>
      <c r="K5" s="15">
        <f>(K3+K4)/$M$4</f>
        <v>0.79122085048010982</v>
      </c>
      <c r="M5" s="16" t="s">
        <v>79</v>
      </c>
      <c r="O5" s="16" t="s">
        <v>80</v>
      </c>
      <c r="P5" s="16">
        <v>133</v>
      </c>
      <c r="Q5" s="18">
        <f>(0.52*1.33)-(0.48*1)</f>
        <v>0.21160000000000012</v>
      </c>
      <c r="S5"/>
      <c r="T5"/>
      <c r="U5"/>
      <c r="V5"/>
    </row>
    <row r="6" spans="1:22">
      <c r="A6" s="15">
        <f>A2*C5*M6</f>
        <v>4.8533536224104017</v>
      </c>
      <c r="B6" s="17" t="s">
        <v>18</v>
      </c>
      <c r="C6" s="15">
        <f>C2*A5*M6</f>
        <v>3.3759013836021543</v>
      </c>
      <c r="E6" s="15">
        <f>E2*G5*M6</f>
        <v>3.8735307093927784</v>
      </c>
      <c r="F6" s="17" t="s">
        <v>18</v>
      </c>
      <c r="G6" s="15">
        <f>G2*E5*M6</f>
        <v>3.7548755951556099</v>
      </c>
      <c r="I6" s="15">
        <f>I2*K5*M6</f>
        <v>3.5039507800786258</v>
      </c>
      <c r="J6" s="17" t="s">
        <v>18</v>
      </c>
      <c r="K6" s="15">
        <f>K2*I5*M6</f>
        <v>3.4309376155435065</v>
      </c>
      <c r="M6" s="16">
        <v>4.3600000000000003</v>
      </c>
      <c r="O6" s="16" t="s">
        <v>81</v>
      </c>
      <c r="P6" s="16">
        <v>170</v>
      </c>
      <c r="Q6" s="18">
        <f>(0.42*1.7)-(0.58*1)</f>
        <v>0.13400000000000001</v>
      </c>
      <c r="S6"/>
      <c r="T6"/>
      <c r="U6"/>
      <c r="V6"/>
    </row>
    <row r="7" spans="1:22">
      <c r="A7" s="20">
        <f>POWER(A6,D4)/(POWER(A6,D4)+(POWER(C6,D4)))</f>
        <v>0.65777930235946647</v>
      </c>
      <c r="B7" s="17" t="s">
        <v>82</v>
      </c>
      <c r="C7" s="20">
        <f>POWER(C6,D4)/(POWER(C6,D4)+(POWER(A6,D4)))</f>
        <v>0.34222069764053342</v>
      </c>
      <c r="E7" s="20">
        <f>POWER(E6,H4)/(POWER(E6,H4)+(POWER(G6,H4)))</f>
        <v>0.51461812738312307</v>
      </c>
      <c r="F7" s="17" t="s">
        <v>82</v>
      </c>
      <c r="G7" s="20">
        <f>POWER(G6,H4)/(POWER(G6,H4)+(POWER(E6,H4)))</f>
        <v>0.48538187261687693</v>
      </c>
      <c r="I7" s="20">
        <f>POWER(I6,L4)/(POWER(I6,L4)+(POWER(K6,L4)))</f>
        <v>0.50905375466482095</v>
      </c>
      <c r="J7" s="17" t="s">
        <v>82</v>
      </c>
      <c r="K7" s="20">
        <f>POWER(K6,L4)/(POWER(K6,L4)+(POWER(I6,L4)))</f>
        <v>0.49094624533517917</v>
      </c>
      <c r="O7" s="16" t="s">
        <v>83</v>
      </c>
      <c r="P7" s="16">
        <v>115</v>
      </c>
      <c r="Q7" s="18">
        <f>(0.49*1.15)-(0.51*1)</f>
        <v>5.3499999999999992E-2</v>
      </c>
      <c r="S7"/>
      <c r="T7"/>
      <c r="U7"/>
      <c r="V7"/>
    </row>
    <row r="8" spans="1:22">
      <c r="A8" s="19">
        <f>IF(A7&lt;0.5,100/(A7/1)-100,((A7*100)/(1-(A7/1)))*-1)</f>
        <v>-192.20909398367064</v>
      </c>
      <c r="B8" s="17" t="s">
        <v>84</v>
      </c>
      <c r="C8" s="19">
        <f>IF(C7&lt;0.5,100/(C7/1)-100,((C7*100)/(1-(C7/1)))*-1)</f>
        <v>192.20909398367075</v>
      </c>
      <c r="E8" s="19">
        <f>IF(E7&lt;0.5,100/(E7/1)-100,((E7*100)/(1-(E7/1)))*-1)</f>
        <v>-106.02335118298144</v>
      </c>
      <c r="F8" s="17" t="s">
        <v>84</v>
      </c>
      <c r="G8" s="19">
        <f>IF(G7&lt;0.5,100/(G7/1)-100,((G7*100)/(1-(G7/1)))*-1)</f>
        <v>106.02335118298146</v>
      </c>
      <c r="I8" s="19">
        <f>IF(I7&lt;0.5,100/(I7/1)-100,((I7*100)/(1-(I7/1)))*-1)</f>
        <v>-103.68828756746667</v>
      </c>
      <c r="J8" s="17" t="s">
        <v>84</v>
      </c>
      <c r="K8" s="19">
        <f>IF(K7&lt;0.5,100/(K7/1)-100,((K7*100)/(1-(K7/1)))*-1)</f>
        <v>103.68828756746663</v>
      </c>
      <c r="O8" s="16" t="s">
        <v>85</v>
      </c>
      <c r="P8" s="16">
        <v>150</v>
      </c>
      <c r="Q8" s="18">
        <f>(0.41*1.5)-(0.59*1)</f>
        <v>2.5000000000000022E-2</v>
      </c>
      <c r="S8"/>
      <c r="T8"/>
      <c r="U8"/>
      <c r="V8"/>
    </row>
    <row r="9" spans="1:22">
      <c r="A9" s="21" t="s">
        <v>86</v>
      </c>
      <c r="B9" s="17" t="s">
        <v>62</v>
      </c>
      <c r="C9" s="21" t="s">
        <v>87</v>
      </c>
      <c r="D9" s="17" t="s">
        <v>64</v>
      </c>
      <c r="E9" s="21" t="s">
        <v>88</v>
      </c>
      <c r="F9" s="17" t="s">
        <v>62</v>
      </c>
      <c r="G9" s="21" t="s">
        <v>89</v>
      </c>
      <c r="H9" s="17" t="s">
        <v>64</v>
      </c>
      <c r="I9" s="21" t="s">
        <v>90</v>
      </c>
      <c r="J9" s="17" t="s">
        <v>62</v>
      </c>
      <c r="K9" s="21" t="s">
        <v>91</v>
      </c>
      <c r="L9" s="17" t="s">
        <v>64</v>
      </c>
      <c r="O9" s="16" t="s">
        <v>92</v>
      </c>
      <c r="P9" s="16">
        <v>162</v>
      </c>
      <c r="Q9" s="18">
        <f>(0.48*1.62)-(0.52*1)</f>
        <v>0.25760000000000005</v>
      </c>
      <c r="S9"/>
      <c r="T9"/>
      <c r="U9"/>
      <c r="V9"/>
    </row>
    <row r="10" spans="1:22">
      <c r="A10" s="15">
        <f>IF(A9="Diamondbacks",('Offensive Values'!$P$2+'Offensive Values'!$Q$2)/2,IF(A9="Braves",('Offensive Values'!$P$3+'Offensive Values'!$Q$3)/2,IF(A9="Orioles",('Offensive Values'!$P$4+'Offensive Values'!$Q$4)/2,IF(A9="Red Sox",('Offensive Values'!$P$5+'Offensive Values'!$Q$5)/2,IF(A9="Cubs",('Offensive Values'!$P$6+'Offensive Values'!$Q$6)/2,IF(A9="White Sox",('Offensive Values'!$P$7+'Offensive Values'!$Q$7)/2,IF(A9="Reds",('Offensive Values'!$P$8+'Offensive Values'!$Q$8)/2,IF(A9="Indians",('Offensive Values'!$P$9+'Offensive Values'!$Q$9)/2,IF(A9="Rockies",('Offensive Values'!$P$10+'Offensive Values'!$Q$10)/2,IF(A9="Tigers",('Offensive Values'!$P$11+'Offensive Values'!$Q$11)/2,IF(A9="Astros",('Offensive Values'!$P$12+'Offensive Values'!$Q$12)/2,IF(A9="Royals",('Offensive Values'!$P$13+'Offensive Values'!$Q$13)/2,IF(A9="Angels",('Offensive Values'!$P$14+'Offensive Values'!$Q$14)/2,IF(A9="Dodgers",('Offensive Values'!$P$15+'Offensive Values'!$Q$15)/2,IF(A9="Marlins",('Offensive Values'!$P$16+'Offensive Values'!$Q$16)/2,IF(A9="Brewers",('Offensive Values'!$P$17+'Offensive Values'!$Q$17)/2,IF(A9="Twins",('Offensive Values'!$P$18+'Offensive Values'!$Q$18)/2,IF(A9="Mets",('Offensive Values'!$P$19+'Offensive Values'!$Q$19)/2,IF(A9="Yankees",('Offensive Values'!$P$20+'Offensive Values'!$Q$20)/2,IF(A9="Athletics",('Offensive Values'!$P$21+'Offensive Values'!$Q$21)/2,IF(A9="Phillies",('Offensive Values'!$P$22+'Offensive Values'!$Q$22)/2,IF(A9="Pirates",('Offensive Values'!$P$23+'Offensive Values'!$Q$23)/2,IF(A9="Padres",('Offensive Values'!$P$24+'Offensive Values'!$Q$24)/2,IF(A9="Giants",('Offensive Values'!$P$25+'Offensive Values'!$Q$25)/2,IF(A9="Mariners",('Offensive Values'!$P$26+'Offensive Values'!$Q$26)/2,IF(A9="Cardinals",('Offensive Values'!$P$27+'Offensive Values'!$Q$27)/2,IF(A9="Rays",('Offensive Values'!$P$28+'Offensive Values'!$Q$28)/2,IF(A9="Rangers",('Offensive Values'!$P$29+'Offensive Values'!$Q$29)/2,IF(A9="Blue Jays",('Offensive Values'!$P$30+'Offensive Values'!$Q$30)/2,IF(A9="Nationals",('Offensive Values'!$P$31+'Offensive Values'!$Q$31)/2))))))))))))))))))))))))))))))</f>
        <v>1.0573364344220852</v>
      </c>
      <c r="B10" s="17" t="s">
        <v>71</v>
      </c>
      <c r="C10" s="15">
        <f>IF(C9="Diamondbacks",('Offensive Values'!$P$2+'Offensive Values'!$Q$2)/2,IF(C9="Braves",('Offensive Values'!$P$3+'Offensive Values'!$Q$3)/2,IF(C9="Orioles",('Offensive Values'!$P$4+'Offensive Values'!$Q$4)/2,IF(C9="Red Sox",('Offensive Values'!$P$5+'Offensive Values'!$Q$5)/2,IF(C9="Cubs",('Offensive Values'!$P$6+'Offensive Values'!$Q$6)/2,IF(C9="White Sox",('Offensive Values'!$P$7+'Offensive Values'!$Q$7)/2,IF(C9="Reds",('Offensive Values'!$P$8+'Offensive Values'!$Q$8)/2,IF(C9="Indians",('Offensive Values'!$P$9+'Offensive Values'!$Q$9)/2,IF(C9="Rockies",('Offensive Values'!$P$10+'Offensive Values'!$Q$10)/2,IF(C9="Tigers",('Offensive Values'!$P$11+'Offensive Values'!$Q$11)/2,IF(C9="Astros",('Offensive Values'!$P$12+'Offensive Values'!$Q$12)/2,IF(C9="Royals",('Offensive Values'!$P$13+'Offensive Values'!$Q$13)/2,IF(C9="Angels",('Offensive Values'!$P$14+'Offensive Values'!$Q$14)/2,IF(C9="Dodgers",('Offensive Values'!$P$15+'Offensive Values'!$Q$15)/2,IF(C9="Marlins",('Offensive Values'!$P$16+'Offensive Values'!$Q$16)/2,IF(C9="Brewers",('Offensive Values'!$P$17+'Offensive Values'!$Q$17)/2,IF(C9="Twins",('Offensive Values'!$P$18+'Offensive Values'!$Q$18)/2,IF(C9="Mets",('Offensive Values'!$P$19+'Offensive Values'!$Q$19)/2,IF(C9="Yankees",('Offensive Values'!$P$20+'Offensive Values'!$Q$20)/2,IF(C9="Athletics",('Offensive Values'!$P$21+'Offensive Values'!$Q$21)/2,IF(C9="Phillies",('Offensive Values'!$P$22+'Offensive Values'!$Q$22)/2,IF(C9="Pirates",('Offensive Values'!$P$23+'Offensive Values'!$Q$23)/2,IF(C9="Padres",('Offensive Values'!$P$24+'Offensive Values'!$Q$24)/2,IF(C9="Giants",('Offensive Values'!$P$25+'Offensive Values'!$Q$25)/2,IF(C9="Mariners",('Offensive Values'!$P$26+'Offensive Values'!$Q$26)/2,IF(C9="Cardinals",('Offensive Values'!$P$27+'Offensive Values'!$Q$27)/2,IF(C9="Rays",('Offensive Values'!$P$28+'Offensive Values'!$Q$28)/2,IF(C9="Rangers",('Offensive Values'!$P$29+'Offensive Values'!$Q$29)/2,IF(C9="Blue Jays",('Offensive Values'!$P$30+'Offensive Values'!$Q$30)/2,IF(C9="Nationals",('Offensive Values'!$P$31+'Offensive Values'!$Q$31)/2))))))))))))))))))))))))))))))</f>
        <v>1.0554505005561736</v>
      </c>
      <c r="D10" s="16">
        <v>8.5</v>
      </c>
      <c r="E10" s="15">
        <f>IF(E9="Diamondbacks",('Offensive Values'!$P$2+'Offensive Values'!$Q$2)/2,IF(E9="Braves",('Offensive Values'!$P$3+'Offensive Values'!$Q$3)/2,IF(E9="Orioles",('Offensive Values'!$P$4+'Offensive Values'!$Q$4)/2,IF(E9="Red Sox",('Offensive Values'!$P$5+'Offensive Values'!$Q$5)/2,IF(E9="Cubs",('Offensive Values'!$P$6+'Offensive Values'!$Q$6)/2,IF(E9="White Sox",('Offensive Values'!$P$7+'Offensive Values'!$Q$7)/2,IF(E9="Reds",('Offensive Values'!$P$8+'Offensive Values'!$Q$8)/2,IF(E9="Indians",('Offensive Values'!$P$9+'Offensive Values'!$Q$9)/2,IF(E9="Rockies",('Offensive Values'!$P$10+'Offensive Values'!$Q$10)/2,IF(E9="Tigers",('Offensive Values'!$P$11+'Offensive Values'!$Q$11)/2,IF(E9="Astros",('Offensive Values'!$P$12+'Offensive Values'!$Q$12)/2,IF(E9="Royals",('Offensive Values'!$P$13+'Offensive Values'!$Q$13)/2,IF(E9="Angels",('Offensive Values'!$P$14+'Offensive Values'!$Q$14)/2,IF(E9="Dodgers",('Offensive Values'!$P$15+'Offensive Values'!$Q$15)/2,IF(E9="Marlins",('Offensive Values'!$P$16+'Offensive Values'!$Q$16)/2,IF(E9="Brewers",('Offensive Values'!$P$17+'Offensive Values'!$Q$17)/2,IF(E9="Twins",('Offensive Values'!$P$18+'Offensive Values'!$Q$18)/2,IF(E9="Mets",('Offensive Values'!$P$19+'Offensive Values'!$Q$19)/2,IF(E9="Yankees",('Offensive Values'!$P$20+'Offensive Values'!$Q$20)/2,IF(E9="Athletics",('Offensive Values'!$P$21+'Offensive Values'!$Q$21)/2,IF(E9="Phillies",('Offensive Values'!$P$22+'Offensive Values'!$Q$22)/2,IF(E9="Pirates",('Offensive Values'!$P$23+'Offensive Values'!$Q$23)/2,IF(E9="Padres",('Offensive Values'!$P$24+'Offensive Values'!$Q$24)/2,IF(E9="Giants",('Offensive Values'!$P$25+'Offensive Values'!$Q$25)/2,IF(E9="Mariners",('Offensive Values'!$P$26+'Offensive Values'!$Q$26)/2,IF(E9="Cardinals",('Offensive Values'!$P$27+'Offensive Values'!$Q$27)/2,IF(E9="Rays",('Offensive Values'!$P$28+'Offensive Values'!$Q$28)/2,IF(E9="Rangers",('Offensive Values'!$P$29+'Offensive Values'!$Q$29)/2,IF(E9="Blue Jays",('Offensive Values'!$P$30+'Offensive Values'!$Q$30)/2,IF(E9="Nationals",('Offensive Values'!$P$31+'Offensive Values'!$Q$31)/2))))))))))))))))))))))))))))))</f>
        <v>0.98598442714126799</v>
      </c>
      <c r="F10" s="17" t="s">
        <v>71</v>
      </c>
      <c r="G10" s="15">
        <f>IF(G9="Diamondbacks",('Offensive Values'!$P$2+'Offensive Values'!$Q$2)/2,IF(G9="Braves",('Offensive Values'!$P$3+'Offensive Values'!$Q$3)/2,IF(G9="Orioles",('Offensive Values'!$P$4+'Offensive Values'!$Q$4)/2,IF(G9="Red Sox",('Offensive Values'!$P$5+'Offensive Values'!$Q$5)/2,IF(G9="Cubs",('Offensive Values'!$P$6+'Offensive Values'!$Q$6)/2,IF(G9="White Sox",('Offensive Values'!$P$7+'Offensive Values'!$Q$7)/2,IF(G9="Reds",('Offensive Values'!$P$8+'Offensive Values'!$Q$8)/2,IF(G9="Indians",('Offensive Values'!$P$9+'Offensive Values'!$Q$9)/2,IF(G9="Rockies",('Offensive Values'!$P$10+'Offensive Values'!$Q$10)/2,IF(G9="Tigers",('Offensive Values'!$P$11+'Offensive Values'!$Q$11)/2,IF(G9="Astros",('Offensive Values'!$P$12+'Offensive Values'!$Q$12)/2,IF(G9="Royals",('Offensive Values'!$P$13+'Offensive Values'!$Q$13)/2,IF(G9="Angels",('Offensive Values'!$P$14+'Offensive Values'!$Q$14)/2,IF(G9="Dodgers",('Offensive Values'!$P$15+'Offensive Values'!$Q$15)/2,IF(G9="Marlins",('Offensive Values'!$P$16+'Offensive Values'!$Q$16)/2,IF(G9="Brewers",('Offensive Values'!$P$17+'Offensive Values'!$Q$17)/2,IF(G9="Twins",('Offensive Values'!$P$18+'Offensive Values'!$Q$18)/2,IF(G9="Mets",('Offensive Values'!$P$19+'Offensive Values'!$Q$19)/2,IF(G9="Yankees",('Offensive Values'!$P$20+'Offensive Values'!$Q$20)/2,IF(G9="Athletics",('Offensive Values'!$P$21+'Offensive Values'!$Q$21)/2,IF(G9="Phillies",('Offensive Values'!$P$22+'Offensive Values'!$Q$22)/2,IF(G9="Pirates",('Offensive Values'!$P$23+'Offensive Values'!$Q$23)/2,IF(G9="Padres",('Offensive Values'!$P$24+'Offensive Values'!$Q$24)/2,IF(G9="Giants",('Offensive Values'!$P$25+'Offensive Values'!$Q$25)/2,IF(G9="Mariners",('Offensive Values'!$P$26+'Offensive Values'!$Q$26)/2,IF(G9="Cardinals",('Offensive Values'!$P$27+'Offensive Values'!$Q$27)/2,IF(G9="Rays",('Offensive Values'!$P$28+'Offensive Values'!$Q$28)/2,IF(G9="Rangers",('Offensive Values'!$P$29+'Offensive Values'!$Q$29)/2,IF(G9="Blue Jays",('Offensive Values'!$P$30+'Offensive Values'!$Q$30)/2,IF(G9="Nationals",('Offensive Values'!$P$31+'Offensive Values'!$Q$31)/2))))))))))))))))))))))))))))))</f>
        <v>0.96488016988573166</v>
      </c>
      <c r="H10" s="16">
        <v>8</v>
      </c>
      <c r="I10" s="15">
        <f>IF(I9="Diamondbacks",('Offensive Values'!$P$2+'Offensive Values'!$Q$2)/2,IF(I9="Braves",('Offensive Values'!$P$3+'Offensive Values'!$Q$3)/2,IF(I9="Orioles",('Offensive Values'!$P$4+'Offensive Values'!$Q$4)/2,IF(I9="Red Sox",('Offensive Values'!$P$5+'Offensive Values'!$Q$5)/2,IF(I9="Cubs",('Offensive Values'!$P$6+'Offensive Values'!$Q$6)/2,IF(I9="White Sox",('Offensive Values'!$P$7+'Offensive Values'!$Q$7)/2,IF(I9="Reds",('Offensive Values'!$P$8+'Offensive Values'!$Q$8)/2,IF(I9="Indians",('Offensive Values'!$P$9+'Offensive Values'!$Q$9)/2,IF(I9="Rockies",('Offensive Values'!$P$10+'Offensive Values'!$Q$10)/2,IF(I9="Tigers",('Offensive Values'!$P$11+'Offensive Values'!$Q$11)/2,IF(I9="Astros",('Offensive Values'!$P$12+'Offensive Values'!$Q$12)/2,IF(I9="Royals",('Offensive Values'!$P$13+'Offensive Values'!$Q$13)/2,IF(I9="Angels",('Offensive Values'!$P$14+'Offensive Values'!$Q$14)/2,IF(I9="Dodgers",('Offensive Values'!$P$15+'Offensive Values'!$Q$15)/2,IF(I9="Marlins",('Offensive Values'!$P$16+'Offensive Values'!$Q$16)/2,IF(I9="Brewers",('Offensive Values'!$P$17+'Offensive Values'!$Q$17)/2,IF(I9="Twins",('Offensive Values'!$P$18+'Offensive Values'!$Q$18)/2,IF(I9="Mets",('Offensive Values'!$P$19+'Offensive Values'!$Q$19)/2,IF(I9="Yankees",('Offensive Values'!$P$20+'Offensive Values'!$Q$20)/2,IF(I9="Athletics",('Offensive Values'!$P$21+'Offensive Values'!$Q$21)/2,IF(I9="Phillies",('Offensive Values'!$P$22+'Offensive Values'!$Q$22)/2,IF(I9="Pirates",('Offensive Values'!$P$23+'Offensive Values'!$Q$23)/2,IF(I9="Padres",('Offensive Values'!$P$24+'Offensive Values'!$Q$24)/2,IF(I9="Giants",('Offensive Values'!$P$25+'Offensive Values'!$Q$25)/2,IF(I9="Mariners",('Offensive Values'!$P$26+'Offensive Values'!$Q$26)/2,IF(I9="Cardinals",('Offensive Values'!$P$27+'Offensive Values'!$Q$27)/2,IF(I9="Rays",('Offensive Values'!$P$28+'Offensive Values'!$Q$28)/2,IF(I9="Rangers",('Offensive Values'!$P$29+'Offensive Values'!$Q$29)/2,IF(I9="Blue Jays",('Offensive Values'!$P$30+'Offensive Values'!$Q$30)/2,IF(I9="Nationals",('Offensive Values'!$P$31+'Offensive Values'!$Q$31)/2))))))))))))))))))))))))))))))</f>
        <v>1.0683082212559412</v>
      </c>
      <c r="J10" s="17" t="s">
        <v>71</v>
      </c>
      <c r="K10" s="15">
        <f>IF(K9="Diamondbacks",('Offensive Values'!$P$2+'Offensive Values'!$Q$2)/2,IF(K9="Braves",('Offensive Values'!$P$3+'Offensive Values'!$Q$3)/2,IF(K9="Orioles",('Offensive Values'!$P$4+'Offensive Values'!$Q$4)/2,IF(K9="Red Sox",('Offensive Values'!$P$5+'Offensive Values'!$Q$5)/2,IF(K9="Cubs",('Offensive Values'!$P$6+'Offensive Values'!$Q$6)/2,IF(K9="White Sox",('Offensive Values'!$P$7+'Offensive Values'!$Q$7)/2,IF(K9="Reds",('Offensive Values'!$P$8+'Offensive Values'!$Q$8)/2,IF(K9="Indians",('Offensive Values'!$P$9+'Offensive Values'!$Q$9)/2,IF(K9="Rockies",('Offensive Values'!$P$10+'Offensive Values'!$Q$10)/2,IF(K9="Tigers",('Offensive Values'!$P$11+'Offensive Values'!$Q$11)/2,IF(K9="Astros",('Offensive Values'!$P$12+'Offensive Values'!$Q$12)/2,IF(K9="Royals",('Offensive Values'!$P$13+'Offensive Values'!$Q$13)/2,IF(K9="Angels",('Offensive Values'!$P$14+'Offensive Values'!$Q$14)/2,IF(K9="Dodgers",('Offensive Values'!$P$15+'Offensive Values'!$Q$15)/2,IF(K9="Marlins",('Offensive Values'!$P$16+'Offensive Values'!$Q$16)/2,IF(K9="Brewers",('Offensive Values'!$P$17+'Offensive Values'!$Q$17)/2,IF(K9="Twins",('Offensive Values'!$P$18+'Offensive Values'!$Q$18)/2,IF(K9="Mets",('Offensive Values'!$P$19+'Offensive Values'!$Q$19)/2,IF(K9="Yankees",('Offensive Values'!$P$20+'Offensive Values'!$Q$20)/2,IF(K9="Athletics",('Offensive Values'!$P$21+'Offensive Values'!$Q$21)/2,IF(K9="Phillies",('Offensive Values'!$P$22+'Offensive Values'!$Q$22)/2,IF(K9="Pirates",('Offensive Values'!$P$23+'Offensive Values'!$Q$23)/2,IF(K9="Padres",('Offensive Values'!$P$24+'Offensive Values'!$Q$24)/2,IF(K9="Giants",('Offensive Values'!$P$25+'Offensive Values'!$Q$25)/2,IF(K9="Mariners",('Offensive Values'!$P$26+'Offensive Values'!$Q$26)/2,IF(K9="Cardinals",('Offensive Values'!$P$27+'Offensive Values'!$Q$27)/2,IF(K9="Rays",('Offensive Values'!$P$28+'Offensive Values'!$Q$28)/2,IF(K9="Rangers",('Offensive Values'!$P$29+'Offensive Values'!$Q$29)/2,IF(K9="Blue Jays",('Offensive Values'!$P$30+'Offensive Values'!$Q$30)/2,IF(K9="Nationals",('Offensive Values'!$P$31+'Offensive Values'!$Q$31)/2))))))))))))))))))))))))))))))</f>
        <v>1.0512033572656487</v>
      </c>
      <c r="L10" s="16">
        <v>8.5</v>
      </c>
      <c r="Q10" s="18"/>
      <c r="S10"/>
      <c r="T10"/>
      <c r="U10"/>
      <c r="V10"/>
    </row>
    <row r="11" spans="1:22">
      <c r="A11" s="19">
        <f>AVERAGE('Starting Pitchers'!B82:E82)*(6/9)</f>
        <v>2.19</v>
      </c>
      <c r="B11" s="17" t="s">
        <v>73</v>
      </c>
      <c r="C11" s="19">
        <f>AVERAGE('Starting Pitchers'!B56:E56)*(6/9)</f>
        <v>2.415</v>
      </c>
      <c r="D11" s="17" t="s">
        <v>45</v>
      </c>
      <c r="E11" s="19">
        <f>AVERAGE('Starting Pitchers'!B80:E80)*(6/9)</f>
        <v>2.0555555555555554</v>
      </c>
      <c r="F11" s="17" t="s">
        <v>73</v>
      </c>
      <c r="G11" s="19">
        <f>AVERAGE('Starting Pitchers'!B89:E89)*(6/9)</f>
        <v>2.1149999999999998</v>
      </c>
      <c r="H11" s="17" t="s">
        <v>45</v>
      </c>
      <c r="I11" s="19">
        <f>AVERAGE('Starting Pitchers'!B153:E153)*(6/9)</f>
        <v>2.5116666666666667</v>
      </c>
      <c r="J11" s="17" t="s">
        <v>73</v>
      </c>
      <c r="K11" s="19">
        <f>AVERAGE('Starting Pitchers'!B55:E55)*(6/9)</f>
        <v>1.98</v>
      </c>
      <c r="L11" s="17" t="s">
        <v>45</v>
      </c>
      <c r="Q11" s="18"/>
      <c r="S11"/>
      <c r="T11"/>
      <c r="U11"/>
      <c r="V11"/>
    </row>
    <row r="12" spans="1:22">
      <c r="A12" s="19">
        <f>IF(A9="Diamondbacks", AVERAGE('Bullpen Values'!$K$5:$N$5)*(3/9), IF(A9="Braves",AVERAGE('Bullpen Values'!$K$6:$N$6)*(3/9),IF(A9="Orioles",AVERAGE('Bullpen Values'!$K$7:$N$7)*(3/9),IF(A9="Red Sox",AVERAGE('Bullpen Values'!$K$8:$N$8)*(3/9),IF(A9="Cubs",AVERAGE('Bullpen Values'!$K$9:$N$9)*(3/9),IF(A9="White Sox",AVERAGE('Bullpen Values'!$K$10:$N$10)*(3/9),IF(A9="Reds",AVERAGE('Bullpen Values'!$K$11:$N$11)*(3/9),IF(A9="Indians",AVERAGE('Bullpen Values'!$K$12:$N$12)*(3/9),IF(A9="Rockies",AVERAGE('Bullpen Values'!$K$13:$N$13)*(3/9),IF(A9="Tigers",AVERAGE('Bullpen Values'!$K$14:$N$14)*(3/9),IF(A9="Astros",AVERAGE('Bullpen Values'!$K$15:$N$15)*(3/9),IF(A9="Royals",AVERAGE('Bullpen Values'!$K$16:$N$16)*(3/9),IF(A9="Angels",AVERAGE('Bullpen Values'!$K$17:$N$17)*(3/9),IF(A9="Dodgers",AVERAGE('Bullpen Values'!$K$18:$N$18)*(3/9),IF(A9="Marlins",AVERAGE('Bullpen Values'!$K$19:$N$19)*(3/9),IF(A9="Brewers",AVERAGE('Bullpen Values'!$K$20:$N$20)*(3/9),IF(A9="Twins",AVERAGE('Bullpen Values'!$K$21:$N$21)*(3/9),IF(A9="Mets",AVERAGE('Bullpen Values'!$K$22:$N$22)*(3/9),IF(A9="Yankees",AVERAGE('Bullpen Values'!$K$23:$N$23)*(3/9),IF(A9="Athletics",AVERAGE('Bullpen Values'!$K$24:$N$24)*(3/9),IF(A9="Phillies",AVERAGE('Bullpen Values'!$K$25:$N$25)*(3/9),IF(A9="Pirates",AVERAGE('Bullpen Values'!$K$26:$N$26)*(3/9),IF(A9="Padres",AVERAGE('Bullpen Values'!$K$27:$N$27)*(3/9),IF(A9="Giants",AVERAGE('Bullpen Values'!$K$28:$N$28)*(3/9),IF(A9="Mariners",AVERAGE('Bullpen Values'!$K$29:$N$29)*(3/9),IF(A9="Cardinals",AVERAGE('Bullpen Values'!$K$30:$N$30)*(3/9),IF(A9="Rays",AVERAGE('Bullpen Values'!$K$31:$N$31)*(3/9),IF(A9="Rangers",AVERAGE('Bullpen Values'!$K$32:$N$32)*(3/9),IF(A9="Blue Jays",AVERAGE('Bullpen Values'!$K$33:$N$33)*(3/9),IF(A9="Nationals",AVERAGE('Bullpen Values'!$K$34:$N$34)*(3/9)))))))))))))))))))))))))))))))</f>
        <v>1.2999999999999998</v>
      </c>
      <c r="B12" s="17" t="s">
        <v>76</v>
      </c>
      <c r="C12" s="19">
        <f>IF(C9="Diamondbacks", AVERAGE('Bullpen Values'!$K$5:$N$5)*(3/9), IF(C9="Braves",AVERAGE('Bullpen Values'!$K$6:$N$6)*(3/9),IF(C9="Orioles",AVERAGE('Bullpen Values'!$K$7:$N$7)*(3/9),IF(C9="Red Sox",AVERAGE('Bullpen Values'!$K$8:$N$8)*(3/9),IF(C9="Cubs",AVERAGE('Bullpen Values'!$K$9:$N$9)*(3/9),IF(C9="White Sox",AVERAGE('Bullpen Values'!$K$10:$N$10)*(3/9),IF(C9="Reds",AVERAGE('Bullpen Values'!$K$11:$N$11)*(3/9),IF(C9="Indians",AVERAGE('Bullpen Values'!$K$12:$N$12)*(3/9),IF(C9="Rockies",AVERAGE('Bullpen Values'!$K$13:$N$13)*(3/9),IF(C9="Tigers",AVERAGE('Bullpen Values'!$K$14:$N$14)*(3/9),IF(C9="Astros",AVERAGE('Bullpen Values'!$K$15:$N$15)*(3/9),IF(C9="Royals",AVERAGE('Bullpen Values'!$K$16:$N$16)*(3/9),IF(C9="Angels",AVERAGE('Bullpen Values'!$K$17:$N$17)*(3/9),IF(C9="Dodgers",AVERAGE('Bullpen Values'!$K$18:$N$18)*(3/9),IF(C9="Marlins",AVERAGE('Bullpen Values'!$K$19:$N$19)*(3/9),IF(C9="Brewers",AVERAGE('Bullpen Values'!$K$20:$N$20)*(3/9),IF(C9="Twins",AVERAGE('Bullpen Values'!$K$21:$N$21)*(3/9),IF(C9="Mets",AVERAGE('Bullpen Values'!$K$22:$N$22)*(3/9),IF(C9="Yankees",AVERAGE('Bullpen Values'!$K$23:$N$23)*(3/9),IF(C9="Athletics",AVERAGE('Bullpen Values'!$K$24:$N$24)*(3/9),IF(C9="Phillies",AVERAGE('Bullpen Values'!$K$25:$N$25)*(3/9),IF(C9="Pirates",AVERAGE('Bullpen Values'!$K$26:$N$26)*(3/9),IF(C9="Padres",AVERAGE('Bullpen Values'!$K$27:$N$27)*(3/9),IF(C9="Giants",AVERAGE('Bullpen Values'!$K$28:$N$28)*(3/9),IF(C9="Mariners",AVERAGE('Bullpen Values'!$K$29:$N$29)*(3/9),IF(C9="Cardinals",AVERAGE('Bullpen Values'!$K$30:$N$30)*(3/9),IF(C9="Rays",AVERAGE('Bullpen Values'!$K$31:$N$31)*(3/9),IF(C9="Rangers",AVERAGE('Bullpen Values'!$K$32:$N$32)*(3/9),IF(C9="Blue Jays",AVERAGE('Bullpen Values'!$K$33:$N$33)*(3/9),IF(C9="Nationals",AVERAGE('Bullpen Values'!$K$34:$N$34)*(3/9)))))))))))))))))))))))))))))))</f>
        <v>1.5044444444444443</v>
      </c>
      <c r="D12" s="16">
        <f>IF(D10=6.5,1.67,IF(D10=7,1.72,IF(D10=7.5,1.76,IF(D10=8,1.8,IF(D10=8.5,1.84,IF(D10=9,1.88,IF(D10=9.5,1.92,IF(D10=10,1.95,IF(D10=10.5,1.98,IF(D10=11,2.01,IF(D10=11.5,2.04,IF(D10=12,2.07,IF(D10=12.5,2.1,IF(D10=13,2.12))))))))))))))</f>
        <v>1.84</v>
      </c>
      <c r="E12" s="19">
        <f>IF(E9="Diamondbacks", AVERAGE('Bullpen Values'!$K$5:$N$5)*(3/9), IF(E9="Braves",AVERAGE('Bullpen Values'!$K$6:$N$6)*(3/9),IF(E9="Orioles",AVERAGE('Bullpen Values'!$K$7:$N$7)*(3/9),IF(E9="Red Sox",AVERAGE('Bullpen Values'!$K$8:$N$8)*(3/9),IF(E9="Cubs",AVERAGE('Bullpen Values'!$K$9:$N$9)*(3/9),IF(E9="White Sox",AVERAGE('Bullpen Values'!$K$10:$N$10)*(3/9),IF(E9="Reds",AVERAGE('Bullpen Values'!$K$11:$N$11)*(3/9),IF(E9="Indians",AVERAGE('Bullpen Values'!$K$12:$N$12)*(3/9),IF(E9="Rockies",AVERAGE('Bullpen Values'!$K$13:$N$13)*(3/9),IF(E9="Tigers",AVERAGE('Bullpen Values'!$K$14:$N$14)*(3/9),IF(E9="Astros",AVERAGE('Bullpen Values'!$K$15:$N$15)*(3/9),IF(E9="Royals",AVERAGE('Bullpen Values'!$K$16:$N$16)*(3/9),IF(E9="Angels",AVERAGE('Bullpen Values'!$K$17:$N$17)*(3/9),IF(E9="Dodgers",AVERAGE('Bullpen Values'!$K$18:$N$18)*(3/9),IF(E9="Marlins",AVERAGE('Bullpen Values'!$K$19:$N$19)*(3/9),IF(E9="Brewers",AVERAGE('Bullpen Values'!$K$20:$N$20)*(3/9),IF(E9="Twins",AVERAGE('Bullpen Values'!$K$21:$N$21)*(3/9),IF(E9="Mets",AVERAGE('Bullpen Values'!$K$22:$N$22)*(3/9),IF(E9="Yankees",AVERAGE('Bullpen Values'!$K$23:$N$23)*(3/9),IF(E9="Athletics",AVERAGE('Bullpen Values'!$K$24:$N$24)*(3/9),IF(E9="Phillies",AVERAGE('Bullpen Values'!$K$25:$N$25)*(3/9),IF(E9="Pirates",AVERAGE('Bullpen Values'!$K$26:$N$26)*(3/9),IF(E9="Padres",AVERAGE('Bullpen Values'!$K$27:$N$27)*(3/9),IF(E9="Giants",AVERAGE('Bullpen Values'!$K$28:$N$28)*(3/9),IF(E9="Mariners",AVERAGE('Bullpen Values'!$K$29:$N$29)*(3/9),IF(E9="Cardinals",AVERAGE('Bullpen Values'!$K$30:$N$30)*(3/9),IF(E9="Rays",AVERAGE('Bullpen Values'!$K$31:$N$31)*(3/9),IF(E9="Rangers",AVERAGE('Bullpen Values'!$K$32:$N$32)*(3/9),IF(E9="Blue Jays",AVERAGE('Bullpen Values'!$K$33:$N$33)*(3/9),IF(E9="Nationals",AVERAGE('Bullpen Values'!$K$34:$N$34)*(3/9)))))))))))))))))))))))))))))))</f>
        <v>1.2611111111111111</v>
      </c>
      <c r="F12" s="17" t="s">
        <v>76</v>
      </c>
      <c r="G12" s="19">
        <f>IF(G9="Diamondbacks", AVERAGE('Bullpen Values'!$K$5:$N$5)*(3/9), IF(G9="Braves",AVERAGE('Bullpen Values'!$K$6:$N$6)*(3/9),IF(G9="Orioles",AVERAGE('Bullpen Values'!$K$7:$N$7)*(3/9),IF(G9="Red Sox",AVERAGE('Bullpen Values'!$K$8:$N$8)*(3/9),IF(G9="Cubs",AVERAGE('Bullpen Values'!$K$9:$N$9)*(3/9),IF(G9="White Sox",AVERAGE('Bullpen Values'!$K$10:$N$10)*(3/9),IF(G9="Reds",AVERAGE('Bullpen Values'!$K$11:$N$11)*(3/9),IF(G9="Indians",AVERAGE('Bullpen Values'!$K$12:$N$12)*(3/9),IF(G9="Rockies",AVERAGE('Bullpen Values'!$K$13:$N$13)*(3/9),IF(G9="Tigers",AVERAGE('Bullpen Values'!$K$14:$N$14)*(3/9),IF(G9="Astros",AVERAGE('Bullpen Values'!$K$15:$N$15)*(3/9),IF(G9="Royals",AVERAGE('Bullpen Values'!$K$16:$N$16)*(3/9),IF(G9="Angels",AVERAGE('Bullpen Values'!$K$17:$N$17)*(3/9),IF(G9="Dodgers",AVERAGE('Bullpen Values'!$K$18:$N$18)*(3/9),IF(G9="Marlins",AVERAGE('Bullpen Values'!$K$19:$N$19)*(3/9),IF(G9="Brewers",AVERAGE('Bullpen Values'!$K$20:$N$20)*(3/9),IF(G9="Twins",AVERAGE('Bullpen Values'!$K$21:$N$21)*(3/9),IF(G9="Mets",AVERAGE('Bullpen Values'!$K$22:$N$22)*(3/9),IF(G9="Yankees",AVERAGE('Bullpen Values'!$K$23:$N$23)*(3/9),IF(G9="Athletics",AVERAGE('Bullpen Values'!$K$24:$N$24)*(3/9),IF(G9="Phillies",AVERAGE('Bullpen Values'!$K$25:$N$25)*(3/9),IF(G9="Pirates",AVERAGE('Bullpen Values'!$K$26:$N$26)*(3/9),IF(G9="Padres",AVERAGE('Bullpen Values'!$K$27:$N$27)*(3/9),IF(G9="Giants",AVERAGE('Bullpen Values'!$K$28:$N$28)*(3/9),IF(G9="Mariners",AVERAGE('Bullpen Values'!$K$29:$N$29)*(3/9),IF(G9="Cardinals",AVERAGE('Bullpen Values'!$K$30:$N$30)*(3/9),IF(G9="Rays",AVERAGE('Bullpen Values'!$K$31:$N$31)*(3/9),IF(G9="Rangers",AVERAGE('Bullpen Values'!$K$32:$N$32)*(3/9),IF(G9="Blue Jays",AVERAGE('Bullpen Values'!$K$33:$N$33)*(3/9),IF(G9="Nationals",AVERAGE('Bullpen Values'!$K$34:$N$34)*(3/9)))))))))))))))))))))))))))))))</f>
        <v>1.3033333333333332</v>
      </c>
      <c r="H12" s="16">
        <f>IF(H10=6.5,1.67,IF(H10=7,1.72,IF(H10=7.5,1.76,IF(H10=8,1.8,IF(H10=8.5,1.84,IF(H10=9,1.88,IF(H10=9.5,1.92,IF(H10=10,1.95,IF(H10=10.5,1.98,IF(H10=11,2.01,IF(H10=11.5,2.04,IF(H10=12,2.07,IF(H10=12.5,2.1,IF(H10=13,2.12))))))))))))))</f>
        <v>1.8</v>
      </c>
      <c r="I12" s="19">
        <f>IF(I9="Diamondbacks", AVERAGE('Bullpen Values'!$K$5:$N$5)*(3/9), IF(I9="Braves",AVERAGE('Bullpen Values'!$K$6:$N$6)*(3/9),IF(I9="Orioles",AVERAGE('Bullpen Values'!$K$7:$N$7)*(3/9),IF(I9="Red Sox",AVERAGE('Bullpen Values'!$K$8:$N$8)*(3/9),IF(I9="Cubs",AVERAGE('Bullpen Values'!$K$9:$N$9)*(3/9),IF(I9="White Sox",AVERAGE('Bullpen Values'!$K$10:$N$10)*(3/9),IF(I9="Reds",AVERAGE('Bullpen Values'!$K$11:$N$11)*(3/9),IF(I9="Indians",AVERAGE('Bullpen Values'!$K$12:$N$12)*(3/9),IF(I9="Rockies",AVERAGE('Bullpen Values'!$K$13:$N$13)*(3/9),IF(I9="Tigers",AVERAGE('Bullpen Values'!$K$14:$N$14)*(3/9),IF(I9="Astros",AVERAGE('Bullpen Values'!$K$15:$N$15)*(3/9),IF(I9="Royals",AVERAGE('Bullpen Values'!$K$16:$N$16)*(3/9),IF(I9="Angels",AVERAGE('Bullpen Values'!$K$17:$N$17)*(3/9),IF(I9="Dodgers",AVERAGE('Bullpen Values'!$K$18:$N$18)*(3/9),IF(I9="Marlins",AVERAGE('Bullpen Values'!$K$19:$N$19)*(3/9),IF(I9="Brewers",AVERAGE('Bullpen Values'!$K$20:$N$20)*(3/9),IF(I9="Twins",AVERAGE('Bullpen Values'!$K$21:$N$21)*(3/9),IF(I9="Mets",AVERAGE('Bullpen Values'!$K$22:$N$22)*(3/9),IF(I9="Yankees",AVERAGE('Bullpen Values'!$K$23:$N$23)*(3/9),IF(I9="Athletics",AVERAGE('Bullpen Values'!$K$24:$N$24)*(3/9),IF(I9="Phillies",AVERAGE('Bullpen Values'!$K$25:$N$25)*(3/9),IF(I9="Pirates",AVERAGE('Bullpen Values'!$K$26:$N$26)*(3/9),IF(I9="Padres",AVERAGE('Bullpen Values'!$K$27:$N$27)*(3/9),IF(I9="Giants",AVERAGE('Bullpen Values'!$K$28:$N$28)*(3/9),IF(I9="Mariners",AVERAGE('Bullpen Values'!$K$29:$N$29)*(3/9),IF(I9="Cardinals",AVERAGE('Bullpen Values'!$K$30:$N$30)*(3/9),IF(I9="Rays",AVERAGE('Bullpen Values'!$K$31:$N$31)*(3/9),IF(I9="Rangers",AVERAGE('Bullpen Values'!$K$32:$N$32)*(3/9),IF(I9="Blue Jays",AVERAGE('Bullpen Values'!$K$33:$N$33)*(3/9),IF(I9="Nationals",AVERAGE('Bullpen Values'!$K$34:$N$34)*(3/9)))))))))))))))))))))))))))))))</f>
        <v>1.5</v>
      </c>
      <c r="J12" s="17" t="s">
        <v>76</v>
      </c>
      <c r="K12" s="19">
        <f>IF(K9="Diamondbacks", AVERAGE('Bullpen Values'!$K$5:$N$5)*(3/9), IF(K9="Braves",AVERAGE('Bullpen Values'!$K$6:$N$6)*(3/9),IF(K9="Orioles",AVERAGE('Bullpen Values'!$K$7:$N$7)*(3/9),IF(K9="Red Sox",AVERAGE('Bullpen Values'!$K$8:$N$8)*(3/9),IF(K9="Cubs",AVERAGE('Bullpen Values'!$K$9:$N$9)*(3/9),IF(K9="White Sox",AVERAGE('Bullpen Values'!$K$10:$N$10)*(3/9),IF(K9="Reds",AVERAGE('Bullpen Values'!$K$11:$N$11)*(3/9),IF(K9="Indians",AVERAGE('Bullpen Values'!$K$12:$N$12)*(3/9),IF(K9="Rockies",AVERAGE('Bullpen Values'!$K$13:$N$13)*(3/9),IF(K9="Tigers",AVERAGE('Bullpen Values'!$K$14:$N$14)*(3/9),IF(K9="Astros",AVERAGE('Bullpen Values'!$K$15:$N$15)*(3/9),IF(K9="Royals",AVERAGE('Bullpen Values'!$K$16:$N$16)*(3/9),IF(K9="Angels",AVERAGE('Bullpen Values'!$K$17:$N$17)*(3/9),IF(K9="Dodgers",AVERAGE('Bullpen Values'!$K$18:$N$18)*(3/9),IF(K9="Marlins",AVERAGE('Bullpen Values'!$K$19:$N$19)*(3/9),IF(K9="Brewers",AVERAGE('Bullpen Values'!$K$20:$N$20)*(3/9),IF(K9="Twins",AVERAGE('Bullpen Values'!$K$21:$N$21)*(3/9),IF(K9="Mets",AVERAGE('Bullpen Values'!$K$22:$N$22)*(3/9),IF(K9="Yankees",AVERAGE('Bullpen Values'!$K$23:$N$23)*(3/9),IF(K9="Athletics",AVERAGE('Bullpen Values'!$K$24:$N$24)*(3/9),IF(K9="Phillies",AVERAGE('Bullpen Values'!$K$25:$N$25)*(3/9),IF(K9="Pirates",AVERAGE('Bullpen Values'!$K$26:$N$26)*(3/9),IF(K9="Padres",AVERAGE('Bullpen Values'!$K$27:$N$27)*(3/9),IF(K9="Giants",AVERAGE('Bullpen Values'!$K$28:$N$28)*(3/9),IF(K9="Mariners",AVERAGE('Bullpen Values'!$K$29:$N$29)*(3/9),IF(K9="Cardinals",AVERAGE('Bullpen Values'!$K$30:$N$30)*(3/9),IF(K9="Rays",AVERAGE('Bullpen Values'!$K$31:$N$31)*(3/9),IF(K9="Rangers",AVERAGE('Bullpen Values'!$K$32:$N$32)*(3/9),IF(K9="Blue Jays",AVERAGE('Bullpen Values'!$K$33:$N$33)*(3/9),IF(K9="Nationals",AVERAGE('Bullpen Values'!$K$34:$N$34)*(3/9)))))))))))))))))))))))))))))))</f>
        <v>1.3011111111111111</v>
      </c>
      <c r="L12" s="16">
        <f>IF(L10=6.5,1.67,IF(L10=7,1.72,IF(L10=7.5,1.76,IF(L10=8,1.8,IF(L10=8.5,1.84,IF(L10=9,1.88,IF(L10=9.5,1.92,IF(L10=10,1.95,IF(L10=10.5,1.98,IF(L10=11,2.01,IF(L10=11.5,2.04,IF(L10=12,2.07,IF(L10=12.5,2.1,IF(L10=13,2.12))))))))))))))</f>
        <v>1.84</v>
      </c>
      <c r="Q12" s="18"/>
    </row>
    <row r="13" spans="1:22">
      <c r="A13" s="15">
        <f>(A11+A12)/$M$4</f>
        <v>0.86172839506172838</v>
      </c>
      <c r="B13" s="17" t="s">
        <v>78</v>
      </c>
      <c r="C13" s="15">
        <f>(C11+C12)/$M$4</f>
        <v>0.96776406035665297</v>
      </c>
      <c r="E13" s="15">
        <f>(E11+E12)/$M$4</f>
        <v>0.81893004115226331</v>
      </c>
      <c r="F13" s="17" t="s">
        <v>78</v>
      </c>
      <c r="G13" s="15">
        <f>(G11+G12)/$M$4</f>
        <v>0.84403292181069955</v>
      </c>
      <c r="I13" s="15">
        <f>(I11+I12)/$M$4</f>
        <v>0.99053497942386837</v>
      </c>
      <c r="J13" s="17" t="s">
        <v>78</v>
      </c>
      <c r="K13" s="15">
        <f>(K11+K12)/$M$4</f>
        <v>0.81015089163237319</v>
      </c>
      <c r="Q13" s="18"/>
    </row>
    <row r="14" spans="1:22">
      <c r="A14" s="15">
        <f>A10*C13*$M$6</f>
        <v>4.4613795960955365</v>
      </c>
      <c r="B14" s="17" t="s">
        <v>18</v>
      </c>
      <c r="C14" s="15">
        <f>C10*A13*$M$6</f>
        <v>3.9654708633735707</v>
      </c>
      <c r="E14" s="15">
        <f>E10*G13*$M$6</f>
        <v>3.628406461683535</v>
      </c>
      <c r="F14" s="17" t="s">
        <v>18</v>
      </c>
      <c r="G14" s="15">
        <f>G10*E13*$M$6</f>
        <v>3.4451383975294494</v>
      </c>
      <c r="I14" s="15">
        <f>I10*K13*$M$6</f>
        <v>3.7735401408307121</v>
      </c>
      <c r="J14" s="17" t="s">
        <v>18</v>
      </c>
      <c r="K14" s="15">
        <f>K10*I13*$M$6</f>
        <v>4.5398661139471184</v>
      </c>
      <c r="Q14" s="18"/>
    </row>
    <row r="15" spans="1:22">
      <c r="A15" s="20">
        <f>POWER(A14,D12)/(POWER(A14,D12)+(POWER(C14,D12)))</f>
        <v>0.5539920433846719</v>
      </c>
      <c r="B15" s="17" t="s">
        <v>82</v>
      </c>
      <c r="C15" s="20">
        <f>POWER(C14,D12)/(POWER(C14,D12)+(POWER(A14,D12)))</f>
        <v>0.44600795661532816</v>
      </c>
      <c r="E15" s="20">
        <f>POWER(E14,H12)/(POWER(E14,H12)+(POWER(G14,H12)))</f>
        <v>0.52330636593117907</v>
      </c>
      <c r="F15" s="17" t="s">
        <v>82</v>
      </c>
      <c r="G15" s="20">
        <f>POWER(G14,H12)/(POWER(G14,H12)+(POWER(E14,H12)))</f>
        <v>0.47669363406882087</v>
      </c>
      <c r="I15" s="20">
        <f>POWER(I14,L12)/(POWER(I14,L12)+(POWER(K14,L12)))</f>
        <v>0.41576419093759504</v>
      </c>
      <c r="J15" s="17" t="s">
        <v>82</v>
      </c>
      <c r="K15" s="20">
        <f>POWER(K14,L12)/(POWER(K14,L12)+(POWER(I14,L12)))</f>
        <v>0.58423580906240502</v>
      </c>
      <c r="Q15" s="18"/>
    </row>
    <row r="16" spans="1:22">
      <c r="A16" s="19">
        <f>IF(A15&lt;0.5,100/(A15/1)-100,((A15*100)/(1-(A15/1)))*-1)</f>
        <v>-124.21124672053276</v>
      </c>
      <c r="B16" s="17" t="s">
        <v>84</v>
      </c>
      <c r="C16" s="19">
        <f>IF(C15&lt;0.5,100/(C15/1)-100,((C15*100)/(1-(C15/1)))*-1)</f>
        <v>124.21124672053273</v>
      </c>
      <c r="E16" s="19">
        <f>IF(E15&lt;0.5,100/(E15/1)-100,((E15*100)/(1-(E15/1)))*-1)</f>
        <v>-109.77834158692134</v>
      </c>
      <c r="F16" s="17" t="s">
        <v>84</v>
      </c>
      <c r="G16" s="19">
        <f>IF(G15&lt;0.5,100/(G15/1)-100,((G15*100)/(1-(G15/1)))*-1)</f>
        <v>109.77834158692136</v>
      </c>
      <c r="I16" s="19">
        <f>IF(I15&lt;0.5,100/(I15/1)-100,((I15*100)/(1-(I15/1)))*-1)</f>
        <v>140.52095437677966</v>
      </c>
      <c r="J16" s="17" t="s">
        <v>84</v>
      </c>
      <c r="K16" s="19">
        <f>IF(K15&lt;0.5,100/(K15/1)-100,((K15*100)/(1-(K15/1)))*-1)</f>
        <v>-140.52095437677968</v>
      </c>
      <c r="Q16" s="18"/>
    </row>
    <row r="17" spans="1:17">
      <c r="A17" s="21" t="s">
        <v>93</v>
      </c>
      <c r="B17" s="17" t="s">
        <v>62</v>
      </c>
      <c r="C17" s="21" t="s">
        <v>94</v>
      </c>
      <c r="D17" s="17" t="s">
        <v>64</v>
      </c>
      <c r="E17" s="21" t="s">
        <v>95</v>
      </c>
      <c r="F17" s="17" t="s">
        <v>62</v>
      </c>
      <c r="G17" s="21" t="s">
        <v>96</v>
      </c>
      <c r="H17" s="17" t="s">
        <v>64</v>
      </c>
      <c r="I17" s="21" t="s">
        <v>97</v>
      </c>
      <c r="J17" s="17" t="s">
        <v>62</v>
      </c>
      <c r="K17" s="21" t="s">
        <v>98</v>
      </c>
      <c r="L17" s="17" t="s">
        <v>64</v>
      </c>
      <c r="Q17" s="18"/>
    </row>
    <row r="18" spans="1:17">
      <c r="A18" s="15">
        <f>IF(A17="Diamondbacks",('Offensive Values'!$P$2+'Offensive Values'!$Q$2)/2,IF(A17="Braves",('Offensive Values'!$P$3+'Offensive Values'!$Q$3)/2,IF(A17="Orioles",('Offensive Values'!$P$4+'Offensive Values'!$Q$4)/2,IF(A17="Red Sox",('Offensive Values'!$P$5+'Offensive Values'!$Q$5)/2,IF(A17="Cubs",('Offensive Values'!$P$6+'Offensive Values'!$Q$6)/2,IF(A17="White Sox",('Offensive Values'!$P$7+'Offensive Values'!$Q$7)/2,IF(A17="Reds",('Offensive Values'!$P$8+'Offensive Values'!$Q$8)/2,IF(A17="Indians",('Offensive Values'!$P$9+'Offensive Values'!$Q$9)/2,IF(A17="Rockies",('Offensive Values'!$P$10+'Offensive Values'!$Q$10)/2,IF(A17="Tigers",('Offensive Values'!$P$11+'Offensive Values'!$Q$11)/2,IF(A17="Astros",('Offensive Values'!$P$12+'Offensive Values'!$Q$12)/2,IF(A17="Royals",('Offensive Values'!$P$13+'Offensive Values'!$Q$13)/2,IF(A17="Angels",('Offensive Values'!$P$14+'Offensive Values'!$Q$14)/2,IF(A17="Dodgers",('Offensive Values'!$P$15+'Offensive Values'!$Q$15)/2,IF(A17="Marlins",('Offensive Values'!$P$16+'Offensive Values'!$Q$16)/2,IF(A17="Brewers",('Offensive Values'!$P$17+'Offensive Values'!$Q$17)/2,IF(A17="Twins",('Offensive Values'!$P$18+'Offensive Values'!$Q$18)/2,IF(A17="Mets",('Offensive Values'!$P$19+'Offensive Values'!$Q$19)/2,IF(A17="Yankees",('Offensive Values'!$P$20+'Offensive Values'!$Q$20)/2,IF(A17="Athletics",('Offensive Values'!$P$21+'Offensive Values'!$Q$21)/2,IF(A17="Phillies",('Offensive Values'!$P$22+'Offensive Values'!$Q$22)/2,IF(A17="Pirates",('Offensive Values'!$P$23+'Offensive Values'!$Q$23)/2,IF(A17="Padres",('Offensive Values'!$P$24+'Offensive Values'!$Q$24)/2,IF(A17="Giants",('Offensive Values'!$P$25+'Offensive Values'!$Q$25)/2,IF(A17="Mariners",('Offensive Values'!$P$26+'Offensive Values'!$Q$26)/2,IF(A17="Cardinals",('Offensive Values'!$P$27+'Offensive Values'!$Q$27)/2,IF(A17="Rays",('Offensive Values'!$P$28+'Offensive Values'!$Q$28)/2,IF(A17="Rangers",('Offensive Values'!$P$29+'Offensive Values'!$Q$29)/2,IF(A17="Blue Jays",('Offensive Values'!$P$30+'Offensive Values'!$Q$30)/2,IF(A17="Nationals",('Offensive Values'!$P$31+'Offensive Values'!$Q$31)/2))))))))))))))))))))))))))))))</f>
        <v>1.0506117908787542</v>
      </c>
      <c r="B18" s="17" t="s">
        <v>71</v>
      </c>
      <c r="C18" s="15">
        <f>IF(C17="Diamondbacks",('Offensive Values'!$P$2+'Offensive Values'!$Q$2)/2,IF(C17="Braves",('Offensive Values'!$P$3+'Offensive Values'!$Q$3)/2,IF(C17="Orioles",('Offensive Values'!$P$4+'Offensive Values'!$Q$4)/2,IF(C17="Red Sox",('Offensive Values'!$P$5+'Offensive Values'!$Q$5)/2,IF(C17="Cubs",('Offensive Values'!$P$6+'Offensive Values'!$Q$6)/2,IF(C17="White Sox",('Offensive Values'!$P$7+'Offensive Values'!$Q$7)/2,IF(C17="Reds",('Offensive Values'!$P$8+'Offensive Values'!$Q$8)/2,IF(C17="Indians",('Offensive Values'!$P$9+'Offensive Values'!$Q$9)/2,IF(C17="Rockies",('Offensive Values'!$P$10+'Offensive Values'!$Q$10)/2,IF(C17="Tigers",('Offensive Values'!$P$11+'Offensive Values'!$Q$11)/2,IF(C17="Astros",('Offensive Values'!$P$12+'Offensive Values'!$Q$12)/2,IF(C17="Royals",('Offensive Values'!$P$13+'Offensive Values'!$Q$13)/2,IF(C17="Angels",('Offensive Values'!$P$14+'Offensive Values'!$Q$14)/2,IF(C17="Dodgers",('Offensive Values'!$P$15+'Offensive Values'!$Q$15)/2,IF(C17="Marlins",('Offensive Values'!$P$16+'Offensive Values'!$Q$16)/2,IF(C17="Brewers",('Offensive Values'!$P$17+'Offensive Values'!$Q$17)/2,IF(C17="Twins",('Offensive Values'!$P$18+'Offensive Values'!$Q$18)/2,IF(C17="Mets",('Offensive Values'!$P$19+'Offensive Values'!$Q$19)/2,IF(C17="Yankees",('Offensive Values'!$P$20+'Offensive Values'!$Q$20)/2,IF(C17="Athletics",('Offensive Values'!$P$21+'Offensive Values'!$Q$21)/2,IF(C17="Phillies",('Offensive Values'!$P$22+'Offensive Values'!$Q$22)/2,IF(C17="Pirates",('Offensive Values'!$P$23+'Offensive Values'!$Q$23)/2,IF(C17="Padres",('Offensive Values'!$P$24+'Offensive Values'!$Q$24)/2,IF(C17="Giants",('Offensive Values'!$P$25+'Offensive Values'!$Q$25)/2,IF(C17="Mariners",('Offensive Values'!$P$26+'Offensive Values'!$Q$26)/2,IF(C17="Cardinals",('Offensive Values'!$P$27+'Offensive Values'!$Q$27)/2,IF(C17="Rays",('Offensive Values'!$P$28+'Offensive Values'!$Q$28)/2,IF(C17="Rangers",('Offensive Values'!$P$29+'Offensive Values'!$Q$29)/2,IF(C17="Blue Jays",('Offensive Values'!$P$30+'Offensive Values'!$Q$30)/2,IF(C17="Nationals",('Offensive Values'!$P$31+'Offensive Values'!$Q$31)/2))))))))))))))))))))))))))))))</f>
        <v>0.98709677419354835</v>
      </c>
      <c r="D18" s="16">
        <v>9.5</v>
      </c>
      <c r="E18" s="15">
        <f>IF(E17="Diamondbacks",('Offensive Values'!$P$2+'Offensive Values'!$Q$2)/2,IF(E17="Braves",('Offensive Values'!$P$3+'Offensive Values'!$Q$3)/2,IF(E17="Orioles",('Offensive Values'!$P$4+'Offensive Values'!$Q$4)/2,IF(E17="Red Sox",('Offensive Values'!$P$5+'Offensive Values'!$Q$5)/2,IF(E17="Cubs",('Offensive Values'!$P$6+'Offensive Values'!$Q$6)/2,IF(E17="White Sox",('Offensive Values'!$P$7+'Offensive Values'!$Q$7)/2,IF(E17="Reds",('Offensive Values'!$P$8+'Offensive Values'!$Q$8)/2,IF(E17="Indians",('Offensive Values'!$P$9+'Offensive Values'!$Q$9)/2,IF(E17="Rockies",('Offensive Values'!$P$10+'Offensive Values'!$Q$10)/2,IF(E17="Tigers",('Offensive Values'!$P$11+'Offensive Values'!$Q$11)/2,IF(E17="Astros",('Offensive Values'!$P$12+'Offensive Values'!$Q$12)/2,IF(E17="Royals",('Offensive Values'!$P$13+'Offensive Values'!$Q$13)/2,IF(E17="Angels",('Offensive Values'!$P$14+'Offensive Values'!$Q$14)/2,IF(E17="Dodgers",('Offensive Values'!$P$15+'Offensive Values'!$Q$15)/2,IF(E17="Marlins",('Offensive Values'!$P$16+'Offensive Values'!$Q$16)/2,IF(E17="Brewers",('Offensive Values'!$P$17+'Offensive Values'!$Q$17)/2,IF(E17="Twins",('Offensive Values'!$P$18+'Offensive Values'!$Q$18)/2,IF(E17="Mets",('Offensive Values'!$P$19+'Offensive Values'!$Q$19)/2,IF(E17="Yankees",('Offensive Values'!$P$20+'Offensive Values'!$Q$20)/2,IF(E17="Athletics",('Offensive Values'!$P$21+'Offensive Values'!$Q$21)/2,IF(E17="Phillies",('Offensive Values'!$P$22+'Offensive Values'!$Q$22)/2,IF(E17="Pirates",('Offensive Values'!$P$23+'Offensive Values'!$Q$23)/2,IF(E17="Padres",('Offensive Values'!$P$24+'Offensive Values'!$Q$24)/2,IF(E17="Giants",('Offensive Values'!$P$25+'Offensive Values'!$Q$25)/2,IF(E17="Mariners",('Offensive Values'!$P$26+'Offensive Values'!$Q$26)/2,IF(E17="Cardinals",('Offensive Values'!$P$27+'Offensive Values'!$Q$27)/2,IF(E17="Rays",('Offensive Values'!$P$28+'Offensive Values'!$Q$28)/2,IF(E17="Rangers",('Offensive Values'!$P$29+'Offensive Values'!$Q$29)/2,IF(E17="Blue Jays",('Offensive Values'!$P$30+'Offensive Values'!$Q$30)/2,IF(E17="Nationals",('Offensive Values'!$P$31+'Offensive Values'!$Q$31)/2))))))))))))))))))))))))))))))</f>
        <v>0.94118717767216098</v>
      </c>
      <c r="F18" s="17" t="s">
        <v>71</v>
      </c>
      <c r="G18" s="15">
        <f>IF(G17="Diamondbacks",('Offensive Values'!$P$2+'Offensive Values'!$Q$2)/2,IF(G17="Braves",('Offensive Values'!$P$3+'Offensive Values'!$Q$3)/2,IF(G17="Orioles",('Offensive Values'!$P$4+'Offensive Values'!$Q$4)/2,IF(G17="Red Sox",('Offensive Values'!$P$5+'Offensive Values'!$Q$5)/2,IF(G17="Cubs",('Offensive Values'!$P$6+'Offensive Values'!$Q$6)/2,IF(G17="White Sox",('Offensive Values'!$P$7+'Offensive Values'!$Q$7)/2,IF(G17="Reds",('Offensive Values'!$P$8+'Offensive Values'!$Q$8)/2,IF(G17="Indians",('Offensive Values'!$P$9+'Offensive Values'!$Q$9)/2,IF(G17="Rockies",('Offensive Values'!$P$10+'Offensive Values'!$Q$10)/2,IF(G17="Tigers",('Offensive Values'!$P$11+'Offensive Values'!$Q$11)/2,IF(G17="Astros",('Offensive Values'!$P$12+'Offensive Values'!$Q$12)/2,IF(G17="Royals",('Offensive Values'!$P$13+'Offensive Values'!$Q$13)/2,IF(G17="Angels",('Offensive Values'!$P$14+'Offensive Values'!$Q$14)/2,IF(G17="Dodgers",('Offensive Values'!$P$15+'Offensive Values'!$Q$15)/2,IF(G17="Marlins",('Offensive Values'!$P$16+'Offensive Values'!$Q$16)/2,IF(G17="Brewers",('Offensive Values'!$P$17+'Offensive Values'!$Q$17)/2,IF(G17="Twins",('Offensive Values'!$P$18+'Offensive Values'!$Q$18)/2,IF(G17="Mets",('Offensive Values'!$P$19+'Offensive Values'!$Q$19)/2,IF(G17="Yankees",('Offensive Values'!$P$20+'Offensive Values'!$Q$20)/2,IF(G17="Athletics",('Offensive Values'!$P$21+'Offensive Values'!$Q$21)/2,IF(G17="Phillies",('Offensive Values'!$P$22+'Offensive Values'!$Q$22)/2,IF(G17="Pirates",('Offensive Values'!$P$23+'Offensive Values'!$Q$23)/2,IF(G17="Padres",('Offensive Values'!$P$24+'Offensive Values'!$Q$24)/2,IF(G17="Giants",('Offensive Values'!$P$25+'Offensive Values'!$Q$25)/2,IF(G17="Mariners",('Offensive Values'!$P$26+'Offensive Values'!$Q$26)/2,IF(G17="Cardinals",('Offensive Values'!$P$27+'Offensive Values'!$Q$27)/2,IF(G17="Rays",('Offensive Values'!$P$28+'Offensive Values'!$Q$28)/2,IF(G17="Rangers",('Offensive Values'!$P$29+'Offensive Values'!$Q$29)/2,IF(G17="Blue Jays",('Offensive Values'!$P$30+'Offensive Values'!$Q$30)/2,IF(G17="Nationals",('Offensive Values'!$P$31+'Offensive Values'!$Q$31)/2))))))))))))))))))))))))))))))</f>
        <v>1.049499443826474</v>
      </c>
      <c r="H18" s="16">
        <v>8</v>
      </c>
      <c r="I18" s="15">
        <f>IF(I17="Diamondbacks",('Offensive Values'!$P$2+'Offensive Values'!$Q$2)/2,IF(I17="Braves",('Offensive Values'!$P$3+'Offensive Values'!$Q$3)/2,IF(I17="Orioles",('Offensive Values'!$P$4+'Offensive Values'!$Q$4)/2,IF(I17="Red Sox",('Offensive Values'!$P$5+'Offensive Values'!$Q$5)/2,IF(I17="Cubs",('Offensive Values'!$P$6+'Offensive Values'!$Q$6)/2,IF(I17="White Sox",('Offensive Values'!$P$7+'Offensive Values'!$Q$7)/2,IF(I17="Reds",('Offensive Values'!$P$8+'Offensive Values'!$Q$8)/2,IF(I17="Indians",('Offensive Values'!$P$9+'Offensive Values'!$Q$9)/2,IF(I17="Rockies",('Offensive Values'!$P$10+'Offensive Values'!$Q$10)/2,IF(I17="Tigers",('Offensive Values'!$P$11+'Offensive Values'!$Q$11)/2,IF(I17="Astros",('Offensive Values'!$P$12+'Offensive Values'!$Q$12)/2,IF(I17="Royals",('Offensive Values'!$P$13+'Offensive Values'!$Q$13)/2,IF(I17="Angels",('Offensive Values'!$P$14+'Offensive Values'!$Q$14)/2,IF(I17="Dodgers",('Offensive Values'!$P$15+'Offensive Values'!$Q$15)/2,IF(I17="Marlins",('Offensive Values'!$P$16+'Offensive Values'!$Q$16)/2,IF(I17="Brewers",('Offensive Values'!$P$17+'Offensive Values'!$Q$17)/2,IF(I17="Twins",('Offensive Values'!$P$18+'Offensive Values'!$Q$18)/2,IF(I17="Mets",('Offensive Values'!$P$19+'Offensive Values'!$Q$19)/2,IF(I17="Yankees",('Offensive Values'!$P$20+'Offensive Values'!$Q$20)/2,IF(I17="Athletics",('Offensive Values'!$P$21+'Offensive Values'!$Q$21)/2,IF(I17="Phillies",('Offensive Values'!$P$22+'Offensive Values'!$Q$22)/2,IF(I17="Pirates",('Offensive Values'!$P$23+'Offensive Values'!$Q$23)/2,IF(I17="Padres",('Offensive Values'!$P$24+'Offensive Values'!$Q$24)/2,IF(I17="Giants",('Offensive Values'!$P$25+'Offensive Values'!$Q$25)/2,IF(I17="Mariners",('Offensive Values'!$P$26+'Offensive Values'!$Q$26)/2,IF(I17="Cardinals",('Offensive Values'!$P$27+'Offensive Values'!$Q$27)/2,IF(I17="Rays",('Offensive Values'!$P$28+'Offensive Values'!$Q$28)/2,IF(I17="Rangers",('Offensive Values'!$P$29+'Offensive Values'!$Q$29)/2,IF(I17="Blue Jays",('Offensive Values'!$P$30+'Offensive Values'!$Q$30)/2,IF(I17="Nationals",('Offensive Values'!$P$31+'Offensive Values'!$Q$31)/2))))))))))))))))))))))))))))))</f>
        <v>0.97160481342906257</v>
      </c>
      <c r="J18" s="17" t="s">
        <v>71</v>
      </c>
      <c r="K18" s="15">
        <f>IF(K17="Diamondbacks",('Offensive Values'!$P$2+'Offensive Values'!$Q$2)/2,IF(K17="Braves",('Offensive Values'!$P$3+'Offensive Values'!$Q$3)/2,IF(K17="Orioles",('Offensive Values'!$P$4+'Offensive Values'!$Q$4)/2,IF(K17="Red Sox",('Offensive Values'!$P$5+'Offensive Values'!$Q$5)/2,IF(K17="Cubs",('Offensive Values'!$P$6+'Offensive Values'!$Q$6)/2,IF(K17="White Sox",('Offensive Values'!$P$7+'Offensive Values'!$Q$7)/2,IF(K17="Reds",('Offensive Values'!$P$8+'Offensive Values'!$Q$8)/2,IF(K17="Indians",('Offensive Values'!$P$9+'Offensive Values'!$Q$9)/2,IF(K17="Rockies",('Offensive Values'!$P$10+'Offensive Values'!$Q$10)/2,IF(K17="Tigers",('Offensive Values'!$P$11+'Offensive Values'!$Q$11)/2,IF(K17="Astros",('Offensive Values'!$P$12+'Offensive Values'!$Q$12)/2,IF(K17="Royals",('Offensive Values'!$P$13+'Offensive Values'!$Q$13)/2,IF(K17="Angels",('Offensive Values'!$P$14+'Offensive Values'!$Q$14)/2,IF(K17="Dodgers",('Offensive Values'!$P$15+'Offensive Values'!$Q$15)/2,IF(K17="Marlins",('Offensive Values'!$P$16+'Offensive Values'!$Q$16)/2,IF(K17="Brewers",('Offensive Values'!$P$17+'Offensive Values'!$Q$17)/2,IF(K17="Twins",('Offensive Values'!$P$18+'Offensive Values'!$Q$18)/2,IF(K17="Mets",('Offensive Values'!$P$19+'Offensive Values'!$Q$19)/2,IF(K17="Yankees",('Offensive Values'!$P$20+'Offensive Values'!$Q$20)/2,IF(K17="Athletics",('Offensive Values'!$P$21+'Offensive Values'!$Q$21)/2,IF(K17="Phillies",('Offensive Values'!$P$22+'Offensive Values'!$Q$22)/2,IF(K17="Pirates",('Offensive Values'!$P$23+'Offensive Values'!$Q$23)/2,IF(K17="Padres",('Offensive Values'!$P$24+'Offensive Values'!$Q$24)/2,IF(K17="Giants",('Offensive Values'!$P$25+'Offensive Values'!$Q$25)/2,IF(K17="Mariners",('Offensive Values'!$P$26+'Offensive Values'!$Q$26)/2,IF(K17="Cardinals",('Offensive Values'!$P$27+'Offensive Values'!$Q$27)/2,IF(K17="Rays",('Offensive Values'!$P$28+'Offensive Values'!$Q$28)/2,IF(K17="Rangers",('Offensive Values'!$P$29+'Offensive Values'!$Q$29)/2,IF(K17="Blue Jays",('Offensive Values'!$P$30+'Offensive Values'!$Q$30)/2,IF(K17="Nationals",('Offensive Values'!$P$31+'Offensive Values'!$Q$31)/2))))))))))))))))))))))))))))))</f>
        <v>0.95529376074426131</v>
      </c>
      <c r="L18" s="16">
        <v>8.5</v>
      </c>
      <c r="Q18" s="18"/>
    </row>
    <row r="19" spans="1:17">
      <c r="A19" s="19">
        <f>AVERAGE('Starting Pitchers'!B103:E103)*(6/9)</f>
        <v>3.6599999999999993</v>
      </c>
      <c r="B19" s="17" t="s">
        <v>73</v>
      </c>
      <c r="C19" s="19">
        <f>AVERAGE('Starting Pitchers'!B15:E15)*(6/9)</f>
        <v>3.5566666666666666</v>
      </c>
      <c r="D19" s="17" t="s">
        <v>45</v>
      </c>
      <c r="E19" s="19">
        <f>AVERAGE('Starting Pitchers'!B129:E129)*(6/9)</f>
        <v>2.1166666666666663</v>
      </c>
      <c r="F19" s="17" t="s">
        <v>73</v>
      </c>
      <c r="G19" s="19">
        <f>AVERAGE('Starting Pitchers'!B36:E36)*(6/9)</f>
        <v>3.3283333333333331</v>
      </c>
      <c r="H19" s="17" t="s">
        <v>45</v>
      </c>
      <c r="I19" s="19">
        <f>AVERAGE(4)*(6/9)</f>
        <v>2.6666666666666665</v>
      </c>
      <c r="J19" s="17" t="s">
        <v>73</v>
      </c>
      <c r="K19" s="19">
        <f>AVERAGE('Starting Pitchers'!B49:E49)*(6/9)</f>
        <v>1.9777777777777779</v>
      </c>
      <c r="L19" s="17" t="s">
        <v>45</v>
      </c>
      <c r="Q19" s="18"/>
    </row>
    <row r="20" spans="1:17">
      <c r="A20" s="19">
        <f>IF(A17="Diamondbacks", AVERAGE('Bullpen Values'!$K$5:$N$5)*(3/9), IF(A17="Braves",AVERAGE('Bullpen Values'!$K$6:$N$6)*(3/9),IF(A17="Orioles",AVERAGE('Bullpen Values'!$K$7:$N$7)*(3/9),IF(A17="Red Sox",AVERAGE('Bullpen Values'!$K$8:$N$8)*(3/9),IF(A17="Cubs",AVERAGE('Bullpen Values'!$K$9:$N$9)*(3/9),IF(A17="White Sox",AVERAGE('Bullpen Values'!$K$10:$N$10)*(3/9),IF(A17="Reds",AVERAGE('Bullpen Values'!$K$11:$N$11)*(3/9),IF(A17="Indians",AVERAGE('Bullpen Values'!$K$12:$N$12)*(3/9),IF(A17="Rockies",AVERAGE('Bullpen Values'!$K$13:$N$13)*(3/9),IF(A17="Tigers",AVERAGE('Bullpen Values'!$K$14:$N$14)*(3/9),IF(A17="Astros",AVERAGE('Bullpen Values'!$K$15:$N$15)*(3/9),IF(A17="Royals",AVERAGE('Bullpen Values'!$K$16:$N$16)*(3/9),IF(A17="Angels",AVERAGE('Bullpen Values'!$K$17:$N$17)*(3/9),IF(A17="Dodgers",AVERAGE('Bullpen Values'!$K$18:$N$18)*(3/9),IF(A17="Marlins",AVERAGE('Bullpen Values'!$K$19:$N$19)*(3/9),IF(A17="Brewers",AVERAGE('Bullpen Values'!$K$20:$N$20)*(3/9),IF(A17="Twins",AVERAGE('Bullpen Values'!$K$21:$N$21)*(3/9),IF(A17="Mets",AVERAGE('Bullpen Values'!$K$22:$N$22)*(3/9),IF(A17="Yankees",AVERAGE('Bullpen Values'!$K$23:$N$23)*(3/9),IF(A17="Athletics",AVERAGE('Bullpen Values'!$K$24:$N$24)*(3/9),IF(A17="Phillies",AVERAGE('Bullpen Values'!$K$25:$N$25)*(3/9),IF(A17="Pirates",AVERAGE('Bullpen Values'!$K$26:$N$26)*(3/9),IF(A17="Padres",AVERAGE('Bullpen Values'!$K$27:$N$27)*(3/9),IF(A17="Giants",AVERAGE('Bullpen Values'!$K$28:$N$28)*(3/9),IF(A17="Mariners",AVERAGE('Bullpen Values'!$K$29:$N$29)*(3/9),IF(A17="Cardinals",AVERAGE('Bullpen Values'!$K$30:$N$30)*(3/9),IF(A17="Rays",AVERAGE('Bullpen Values'!$K$31:$N$31)*(3/9),IF(A17="Rangers",AVERAGE('Bullpen Values'!$K$32:$N$32)*(3/9),IF(A17="Blue Jays",AVERAGE('Bullpen Values'!$K$33:$N$33)*(3/9),IF(A17="Nationals",AVERAGE('Bullpen Values'!$K$34:$N$34)*(3/9)))))))))))))))))))))))))))))))</f>
        <v>1.5266666666666666</v>
      </c>
      <c r="B20" s="17" t="s">
        <v>76</v>
      </c>
      <c r="C20" s="19">
        <f>IF(C17="Diamondbacks", AVERAGE('Bullpen Values'!$K$5:$N$5)*(3/9), IF(C17="Braves",AVERAGE('Bullpen Values'!$K$6:$N$6)*(3/9),IF(C17="Orioles",AVERAGE('Bullpen Values'!$K$7:$N$7)*(3/9),IF(C17="Red Sox",AVERAGE('Bullpen Values'!$K$8:$N$8)*(3/9),IF(C17="Cubs",AVERAGE('Bullpen Values'!$K$9:$N$9)*(3/9),IF(C17="White Sox",AVERAGE('Bullpen Values'!$K$10:$N$10)*(3/9),IF(C17="Reds",AVERAGE('Bullpen Values'!$K$11:$N$11)*(3/9),IF(C17="Indians",AVERAGE('Bullpen Values'!$K$12:$N$12)*(3/9),IF(C17="Rockies",AVERAGE('Bullpen Values'!$K$13:$N$13)*(3/9),IF(C17="Tigers",AVERAGE('Bullpen Values'!$K$14:$N$14)*(3/9),IF(C17="Astros",AVERAGE('Bullpen Values'!$K$15:$N$15)*(3/9),IF(C17="Royals",AVERAGE('Bullpen Values'!$K$16:$N$16)*(3/9),IF(C17="Angels",AVERAGE('Bullpen Values'!$K$17:$N$17)*(3/9),IF(C17="Dodgers",AVERAGE('Bullpen Values'!$K$18:$N$18)*(3/9),IF(C17="Marlins",AVERAGE('Bullpen Values'!$K$19:$N$19)*(3/9),IF(C17="Brewers",AVERAGE('Bullpen Values'!$K$20:$N$20)*(3/9),IF(C17="Twins",AVERAGE('Bullpen Values'!$K$21:$N$21)*(3/9),IF(C17="Mets",AVERAGE('Bullpen Values'!$K$22:$N$22)*(3/9),IF(C17="Yankees",AVERAGE('Bullpen Values'!$K$23:$N$23)*(3/9),IF(C17="Athletics",AVERAGE('Bullpen Values'!$K$24:$N$24)*(3/9),IF(C17="Phillies",AVERAGE('Bullpen Values'!$K$25:$N$25)*(3/9),IF(C17="Pirates",AVERAGE('Bullpen Values'!$K$26:$N$26)*(3/9),IF(C17="Padres",AVERAGE('Bullpen Values'!$K$27:$N$27)*(3/9),IF(C17="Giants",AVERAGE('Bullpen Values'!$K$28:$N$28)*(3/9),IF(C17="Mariners",AVERAGE('Bullpen Values'!$K$29:$N$29)*(3/9),IF(C17="Cardinals",AVERAGE('Bullpen Values'!$K$30:$N$30)*(3/9),IF(C17="Rays",AVERAGE('Bullpen Values'!$K$31:$N$31)*(3/9),IF(C17="Rangers",AVERAGE('Bullpen Values'!$K$32:$N$32)*(3/9),IF(C17="Blue Jays",AVERAGE('Bullpen Values'!$K$33:$N$33)*(3/9),IF(C17="Nationals",AVERAGE('Bullpen Values'!$K$34:$N$34)*(3/9)))))))))))))))))))))))))))))))</f>
        <v>1.4055555555555554</v>
      </c>
      <c r="D20" s="16">
        <f>IF(D18=6.5,1.67,IF(D18=7,1.72,IF(D18=7.5,1.76,IF(D18=8,1.8,IF(D18=8.5,1.84,IF(D18=9,1.88,IF(D18=9.5,1.92,IF(D18=10,1.95,IF(D18=10.5,1.98,IF(D18=11,2.01,IF(D18=11.5,2.04,IF(D18=12,2.07,IF(D18=12.5,2.1,IF(D18=13,2.12))))))))))))))</f>
        <v>1.92</v>
      </c>
      <c r="E20" s="19">
        <f>IF(E17="Diamondbacks", AVERAGE('Bullpen Values'!$K$5:$N$5)*(3/9), IF(E17="Braves",AVERAGE('Bullpen Values'!$K$6:$N$6)*(3/9),IF(E17="Orioles",AVERAGE('Bullpen Values'!$K$7:$N$7)*(3/9),IF(E17="Red Sox",AVERAGE('Bullpen Values'!$K$8:$N$8)*(3/9),IF(E17="Cubs",AVERAGE('Bullpen Values'!$K$9:$N$9)*(3/9),IF(E17="White Sox",AVERAGE('Bullpen Values'!$K$10:$N$10)*(3/9),IF(E17="Reds",AVERAGE('Bullpen Values'!$K$11:$N$11)*(3/9),IF(E17="Indians",AVERAGE('Bullpen Values'!$K$12:$N$12)*(3/9),IF(E17="Rockies",AVERAGE('Bullpen Values'!$K$13:$N$13)*(3/9),IF(E17="Tigers",AVERAGE('Bullpen Values'!$K$14:$N$14)*(3/9),IF(E17="Astros",AVERAGE('Bullpen Values'!$K$15:$N$15)*(3/9),IF(E17="Royals",AVERAGE('Bullpen Values'!$K$16:$N$16)*(3/9),IF(E17="Angels",AVERAGE('Bullpen Values'!$K$17:$N$17)*(3/9),IF(E17="Dodgers",AVERAGE('Bullpen Values'!$K$18:$N$18)*(3/9),IF(E17="Marlins",AVERAGE('Bullpen Values'!$K$19:$N$19)*(3/9),IF(E17="Brewers",AVERAGE('Bullpen Values'!$K$20:$N$20)*(3/9),IF(E17="Twins",AVERAGE('Bullpen Values'!$K$21:$N$21)*(3/9),IF(E17="Mets",AVERAGE('Bullpen Values'!$K$22:$N$22)*(3/9),IF(E17="Yankees",AVERAGE('Bullpen Values'!$K$23:$N$23)*(3/9),IF(E17="Athletics",AVERAGE('Bullpen Values'!$K$24:$N$24)*(3/9),IF(E17="Phillies",AVERAGE('Bullpen Values'!$K$25:$N$25)*(3/9),IF(E17="Pirates",AVERAGE('Bullpen Values'!$K$26:$N$26)*(3/9),IF(E17="Padres",AVERAGE('Bullpen Values'!$K$27:$N$27)*(3/9),IF(E17="Giants",AVERAGE('Bullpen Values'!$K$28:$N$28)*(3/9),IF(E17="Mariners",AVERAGE('Bullpen Values'!$K$29:$N$29)*(3/9),IF(E17="Cardinals",AVERAGE('Bullpen Values'!$K$30:$N$30)*(3/9),IF(E17="Rays",AVERAGE('Bullpen Values'!$K$31:$N$31)*(3/9),IF(E17="Rangers",AVERAGE('Bullpen Values'!$K$32:$N$32)*(3/9),IF(E17="Blue Jays",AVERAGE('Bullpen Values'!$K$33:$N$33)*(3/9),IF(E17="Nationals",AVERAGE('Bullpen Values'!$K$34:$N$34)*(3/9)))))))))))))))))))))))))))))))</f>
        <v>1.5844444444444443</v>
      </c>
      <c r="F20" s="17" t="s">
        <v>76</v>
      </c>
      <c r="G20" s="19">
        <f>IF(G17="Diamondbacks", AVERAGE('Bullpen Values'!$K$5:$N$5)*(3/9), IF(G17="Braves",AVERAGE('Bullpen Values'!$K$6:$N$6)*(3/9),IF(G17="Orioles",AVERAGE('Bullpen Values'!$K$7:$N$7)*(3/9),IF(G17="Red Sox",AVERAGE('Bullpen Values'!$K$8:$N$8)*(3/9),IF(G17="Cubs",AVERAGE('Bullpen Values'!$K$9:$N$9)*(3/9),IF(G17="White Sox",AVERAGE('Bullpen Values'!$K$10:$N$10)*(3/9),IF(G17="Reds",AVERAGE('Bullpen Values'!$K$11:$N$11)*(3/9),IF(G17="Indians",AVERAGE('Bullpen Values'!$K$12:$N$12)*(3/9),IF(G17="Rockies",AVERAGE('Bullpen Values'!$K$13:$N$13)*(3/9),IF(G17="Tigers",AVERAGE('Bullpen Values'!$K$14:$N$14)*(3/9),IF(G17="Astros",AVERAGE('Bullpen Values'!$K$15:$N$15)*(3/9),IF(G17="Royals",AVERAGE('Bullpen Values'!$K$16:$N$16)*(3/9),IF(G17="Angels",AVERAGE('Bullpen Values'!$K$17:$N$17)*(3/9),IF(G17="Dodgers",AVERAGE('Bullpen Values'!$K$18:$N$18)*(3/9),IF(G17="Marlins",AVERAGE('Bullpen Values'!$K$19:$N$19)*(3/9),IF(G17="Brewers",AVERAGE('Bullpen Values'!$K$20:$N$20)*(3/9),IF(G17="Twins",AVERAGE('Bullpen Values'!$K$21:$N$21)*(3/9),IF(G17="Mets",AVERAGE('Bullpen Values'!$K$22:$N$22)*(3/9),IF(G17="Yankees",AVERAGE('Bullpen Values'!$K$23:$N$23)*(3/9),IF(G17="Athletics",AVERAGE('Bullpen Values'!$K$24:$N$24)*(3/9),IF(G17="Phillies",AVERAGE('Bullpen Values'!$K$25:$N$25)*(3/9),IF(G17="Pirates",AVERAGE('Bullpen Values'!$K$26:$N$26)*(3/9),IF(G17="Padres",AVERAGE('Bullpen Values'!$K$27:$N$27)*(3/9),IF(G17="Giants",AVERAGE('Bullpen Values'!$K$28:$N$28)*(3/9),IF(G17="Mariners",AVERAGE('Bullpen Values'!$K$29:$N$29)*(3/9),IF(G17="Cardinals",AVERAGE('Bullpen Values'!$K$30:$N$30)*(3/9),IF(G17="Rays",AVERAGE('Bullpen Values'!$K$31:$N$31)*(3/9),IF(G17="Rangers",AVERAGE('Bullpen Values'!$K$32:$N$32)*(3/9),IF(G17="Blue Jays",AVERAGE('Bullpen Values'!$K$33:$N$33)*(3/9),IF(G17="Nationals",AVERAGE('Bullpen Values'!$K$34:$N$34)*(3/9)))))))))))))))))))))))))))))))</f>
        <v>1.162222222222222</v>
      </c>
      <c r="H20" s="16">
        <f>IF(H18=6.5,1.67,IF(H18=7,1.72,IF(H18=7.5,1.76,IF(H18=8,1.8,IF(H18=8.5,1.84,IF(H18=9,1.88,IF(H18=9.5,1.92,IF(H18=10,1.95,IF(H18=10.5,1.98,IF(H18=11,2.01,IF(H18=11.5,2.04,IF(H18=12,2.07,IF(H18=12.5,2.1,IF(H18=13,2.12))))))))))))))</f>
        <v>1.8</v>
      </c>
      <c r="I20" s="19">
        <f>IF(I17="Diamondbacks", AVERAGE('Bullpen Values'!$K$5:$N$5)*(3/9), IF(I17="Braves",AVERAGE('Bullpen Values'!$K$6:$N$6)*(3/9),IF(I17="Orioles",AVERAGE('Bullpen Values'!$K$7:$N$7)*(3/9),IF(I17="Red Sox",AVERAGE('Bullpen Values'!$K$8:$N$8)*(3/9),IF(I17="Cubs",AVERAGE('Bullpen Values'!$K$9:$N$9)*(3/9),IF(I17="White Sox",AVERAGE('Bullpen Values'!$K$10:$N$10)*(3/9),IF(I17="Reds",AVERAGE('Bullpen Values'!$K$11:$N$11)*(3/9),IF(I17="Indians",AVERAGE('Bullpen Values'!$K$12:$N$12)*(3/9),IF(I17="Rockies",AVERAGE('Bullpen Values'!$K$13:$N$13)*(3/9),IF(I17="Tigers",AVERAGE('Bullpen Values'!$K$14:$N$14)*(3/9),IF(I17="Astros",AVERAGE('Bullpen Values'!$K$15:$N$15)*(3/9),IF(I17="Royals",AVERAGE('Bullpen Values'!$K$16:$N$16)*(3/9),IF(I17="Angels",AVERAGE('Bullpen Values'!$K$17:$N$17)*(3/9),IF(I17="Dodgers",AVERAGE('Bullpen Values'!$K$18:$N$18)*(3/9),IF(I17="Marlins",AVERAGE('Bullpen Values'!$K$19:$N$19)*(3/9),IF(I17="Brewers",AVERAGE('Bullpen Values'!$K$20:$N$20)*(3/9),IF(I17="Twins",AVERAGE('Bullpen Values'!$K$21:$N$21)*(3/9),IF(I17="Mets",AVERAGE('Bullpen Values'!$K$22:$N$22)*(3/9),IF(I17="Yankees",AVERAGE('Bullpen Values'!$K$23:$N$23)*(3/9),IF(I17="Athletics",AVERAGE('Bullpen Values'!$K$24:$N$24)*(3/9),IF(I17="Phillies",AVERAGE('Bullpen Values'!$K$25:$N$25)*(3/9),IF(I17="Pirates",AVERAGE('Bullpen Values'!$K$26:$N$26)*(3/9),IF(I17="Padres",AVERAGE('Bullpen Values'!$K$27:$N$27)*(3/9),IF(I17="Giants",AVERAGE('Bullpen Values'!$K$28:$N$28)*(3/9),IF(I17="Mariners",AVERAGE('Bullpen Values'!$K$29:$N$29)*(3/9),IF(I17="Cardinals",AVERAGE('Bullpen Values'!$K$30:$N$30)*(3/9),IF(I17="Rays",AVERAGE('Bullpen Values'!$K$31:$N$31)*(3/9),IF(I17="Rangers",AVERAGE('Bullpen Values'!$K$32:$N$32)*(3/9),IF(I17="Blue Jays",AVERAGE('Bullpen Values'!$K$33:$N$33)*(3/9),IF(I17="Nationals",AVERAGE('Bullpen Values'!$K$34:$N$34)*(3/9)))))))))))))))))))))))))))))))</f>
        <v>1.5166666666666668</v>
      </c>
      <c r="J20" s="17" t="s">
        <v>76</v>
      </c>
      <c r="K20" s="19">
        <f>IF(K17="Diamondbacks", AVERAGE('Bullpen Values'!$K$5:$N$5)*(3/9), IF(K17="Braves",AVERAGE('Bullpen Values'!$K$6:$N$6)*(3/9),IF(K17="Orioles",AVERAGE('Bullpen Values'!$K$7:$N$7)*(3/9),IF(K17="Red Sox",AVERAGE('Bullpen Values'!$K$8:$N$8)*(3/9),IF(K17="Cubs",AVERAGE('Bullpen Values'!$K$9:$N$9)*(3/9),IF(K17="White Sox",AVERAGE('Bullpen Values'!$K$10:$N$10)*(3/9),IF(K17="Reds",AVERAGE('Bullpen Values'!$K$11:$N$11)*(3/9),IF(K17="Indians",AVERAGE('Bullpen Values'!$K$12:$N$12)*(3/9),IF(K17="Rockies",AVERAGE('Bullpen Values'!$K$13:$N$13)*(3/9),IF(K17="Tigers",AVERAGE('Bullpen Values'!$K$14:$N$14)*(3/9),IF(K17="Astros",AVERAGE('Bullpen Values'!$K$15:$N$15)*(3/9),IF(K17="Royals",AVERAGE('Bullpen Values'!$K$16:$N$16)*(3/9),IF(K17="Angels",AVERAGE('Bullpen Values'!$K$17:$N$17)*(3/9),IF(K17="Dodgers",AVERAGE('Bullpen Values'!$K$18:$N$18)*(3/9),IF(K17="Marlins",AVERAGE('Bullpen Values'!$K$19:$N$19)*(3/9),IF(K17="Brewers",AVERAGE('Bullpen Values'!$K$20:$N$20)*(3/9),IF(K17="Twins",AVERAGE('Bullpen Values'!$K$21:$N$21)*(3/9),IF(K17="Mets",AVERAGE('Bullpen Values'!$K$22:$N$22)*(3/9),IF(K17="Yankees",AVERAGE('Bullpen Values'!$K$23:$N$23)*(3/9),IF(K17="Athletics",AVERAGE('Bullpen Values'!$K$24:$N$24)*(3/9),IF(K17="Phillies",AVERAGE('Bullpen Values'!$K$25:$N$25)*(3/9),IF(K17="Pirates",AVERAGE('Bullpen Values'!$K$26:$N$26)*(3/9),IF(K17="Padres",AVERAGE('Bullpen Values'!$K$27:$N$27)*(3/9),IF(K17="Giants",AVERAGE('Bullpen Values'!$K$28:$N$28)*(3/9),IF(K17="Mariners",AVERAGE('Bullpen Values'!$K$29:$N$29)*(3/9),IF(K17="Cardinals",AVERAGE('Bullpen Values'!$K$30:$N$30)*(3/9),IF(K17="Rays",AVERAGE('Bullpen Values'!$K$31:$N$31)*(3/9),IF(K17="Rangers",AVERAGE('Bullpen Values'!$K$32:$N$32)*(3/9),IF(K17="Blue Jays",AVERAGE('Bullpen Values'!$K$33:$N$33)*(3/9),IF(K17="Nationals",AVERAGE('Bullpen Values'!$K$34:$N$34)*(3/9)))))))))))))))))))))))))))))))</f>
        <v>1.4766666666666666</v>
      </c>
      <c r="L20" s="17">
        <f>IF(L18=6.5,1.67,IF(L18=7,1.72,IF(L18=7.5,1.76,IF(L18=8,1.8,IF(L18=8.5,1.84,IF(L18=9,1.88,IF(L18=9.5,1.92,IF(L18=10,1.95,IF(L18=10.5,1.98,IF(L18=11,2.01,IF(L18=11.5,2.04,IF(L18=12,2.07,IF(L18=12.5,2.1,IF(L18=13,2.12))))))))))))))</f>
        <v>1.84</v>
      </c>
      <c r="Q20" s="18"/>
    </row>
    <row r="21" spans="1:17">
      <c r="A21" s="15">
        <f>(A19+A20)/$M$4</f>
        <v>1.2806584362139917</v>
      </c>
      <c r="B21" s="17" t="s">
        <v>78</v>
      </c>
      <c r="C21" s="15">
        <f>(C19+C20)/$M$4</f>
        <v>1.2252400548696845</v>
      </c>
      <c r="E21" s="15">
        <f>(E19+E20)/$M$4</f>
        <v>0.91385459533607671</v>
      </c>
      <c r="F21" s="17" t="s">
        <v>99</v>
      </c>
      <c r="G21" s="15">
        <f>(G19+G20)/$M$4</f>
        <v>1.1087791495198902</v>
      </c>
      <c r="I21" s="15">
        <f>(I19+I20)/$M$4</f>
        <v>1.0329218106995885</v>
      </c>
      <c r="J21" s="17" t="s">
        <v>78</v>
      </c>
      <c r="K21" s="15">
        <f>(K19+K20)/$M$4</f>
        <v>0.85294924554183815</v>
      </c>
      <c r="Q21" s="18"/>
    </row>
    <row r="22" spans="1:17">
      <c r="A22" s="15">
        <f>A18*C21*$M$6</f>
        <v>5.6124171866011778</v>
      </c>
      <c r="B22" s="17" t="s">
        <v>18</v>
      </c>
      <c r="C22" s="15">
        <f>C18*A21*$M$6</f>
        <v>5.5116234169653522</v>
      </c>
      <c r="E22" s="15">
        <f>E18*G21*$M$6</f>
        <v>4.5499596122168695</v>
      </c>
      <c r="F22" s="17" t="s">
        <v>18</v>
      </c>
      <c r="G22" s="15">
        <f>G18*E21*$M$6</f>
        <v>4.1816319184095727</v>
      </c>
      <c r="I22" s="15">
        <f>I18*K21*$M$6</f>
        <v>3.6132610236450393</v>
      </c>
      <c r="J22" s="17" t="s">
        <v>18</v>
      </c>
      <c r="K22" s="15">
        <f>K18*I21*$M$6</f>
        <v>4.3022027983872011</v>
      </c>
      <c r="Q22" s="18"/>
    </row>
    <row r="23" spans="1:17">
      <c r="A23" s="20">
        <f>POWER(A22,D20)/(POWER(A22,D20)+(POWER(C22,D20)))</f>
        <v>0.50869782025184351</v>
      </c>
      <c r="B23" s="17" t="s">
        <v>82</v>
      </c>
      <c r="C23" s="20">
        <f>POWER(C22,D20)/(POWER(C22,D20)+(POWER(A22,D20)))</f>
        <v>0.49130217974815643</v>
      </c>
      <c r="E23" s="20">
        <f>POWER(E22,H20)/(POWER(E22,H20)+(POWER(G22,H20)))</f>
        <v>0.53791462636044374</v>
      </c>
      <c r="F23" s="17" t="s">
        <v>82</v>
      </c>
      <c r="G23" s="20">
        <f>POWER(G22,H20)/(POWER(G22,H20)+(POWER(E22,H20)))</f>
        <v>0.46208537363955637</v>
      </c>
      <c r="I23" s="20">
        <f>POWER(I22,L20)/(POWER(I22,L20)+(POWER(K22,L20)))</f>
        <v>0.42040517968474383</v>
      </c>
      <c r="J23" s="17" t="s">
        <v>82</v>
      </c>
      <c r="K23" s="20">
        <f>POWER(K22,L20)/(POWER(K22,L20)+(POWER(I22,L20)))</f>
        <v>0.57959482031525611</v>
      </c>
      <c r="Q23" s="18"/>
    </row>
    <row r="24" spans="1:17">
      <c r="A24" s="19">
        <f>IF(A23&lt;0.5,100/(A23/1)-100,((A23*100)/(1-(A23/1)))*-1)</f>
        <v>-103.54072121410169</v>
      </c>
      <c r="B24" s="17" t="s">
        <v>84</v>
      </c>
      <c r="C24" s="19">
        <f>IF(C23&lt;0.5,100/(C23/1)-100,((C23*100)/(1-(C23/1)))*-1)</f>
        <v>103.54072121410172</v>
      </c>
      <c r="E24" s="19">
        <f>IF(E23&lt;0.5,100/(E23/1)-100,((E23*100)/(1-(E23/1)))*-1)</f>
        <v>-116.41022569566053</v>
      </c>
      <c r="F24" s="17" t="s">
        <v>84</v>
      </c>
      <c r="G24" s="19">
        <f>IF(G23&lt;0.5,100/(G23/1)-100,((G23*100)/(1-(G23/1)))*-1)</f>
        <v>116.4102256956605</v>
      </c>
      <c r="I24" s="19">
        <f>IF(I23&lt;0.5,100/(I23/1)-100,((I23*100)/(1-(I23/1)))*-1)</f>
        <v>137.86576577146039</v>
      </c>
      <c r="J24" s="17" t="s">
        <v>84</v>
      </c>
      <c r="K24" s="19">
        <f>IF(K23&lt;0.5,100/(K23/1)-100,((K23*100)/(1-(K23/1)))*-1)</f>
        <v>-137.86576577146036</v>
      </c>
      <c r="Q24" s="18"/>
    </row>
    <row r="25" spans="1:17">
      <c r="A25" s="21" t="s">
        <v>100</v>
      </c>
      <c r="B25" s="17" t="s">
        <v>62</v>
      </c>
      <c r="C25" s="21" t="s">
        <v>101</v>
      </c>
      <c r="D25" s="17" t="s">
        <v>64</v>
      </c>
      <c r="E25" s="21" t="s">
        <v>102</v>
      </c>
      <c r="F25" s="17" t="s">
        <v>62</v>
      </c>
      <c r="G25" s="21" t="s">
        <v>103</v>
      </c>
      <c r="H25" s="17" t="s">
        <v>64</v>
      </c>
      <c r="I25" s="21" t="s">
        <v>104</v>
      </c>
      <c r="J25" s="17" t="s">
        <v>62</v>
      </c>
      <c r="K25" s="21" t="s">
        <v>105</v>
      </c>
      <c r="L25" s="17" t="s">
        <v>64</v>
      </c>
      <c r="Q25" s="18"/>
    </row>
    <row r="26" spans="1:17">
      <c r="A26" s="15">
        <f>IF(A25="Diamondbacks",('Offensive Values'!$P$2+'Offensive Values'!$Q$2)/2,IF(A25="Braves",('Offensive Values'!$P$3+'Offensive Values'!$Q$3)/2,IF(A25="Orioles",('Offensive Values'!$P$4+'Offensive Values'!$Q$4)/2,IF(A25="Red Sox",('Offensive Values'!$P$5+'Offensive Values'!$Q$5)/2,IF(A25="Cubs",('Offensive Values'!$P$6+'Offensive Values'!$Q$6)/2,IF(A25="White Sox",('Offensive Values'!$P$7+'Offensive Values'!$Q$7)/2,IF(A25="Reds",('Offensive Values'!$P$8+'Offensive Values'!$Q$8)/2,IF(A25="Indians",('Offensive Values'!$P$9+'Offensive Values'!$Q$9)/2,IF(A25="Rockies",('Offensive Values'!$P$10+'Offensive Values'!$Q$10)/2,IF(A25="Tigers",('Offensive Values'!$P$11+'Offensive Values'!$Q$11)/2,IF(A25="Astros",('Offensive Values'!$P$12+'Offensive Values'!$Q$12)/2,IF(A25="Royals",('Offensive Values'!$P$13+'Offensive Values'!$Q$13)/2,IF(A25="Angels",('Offensive Values'!$P$14+'Offensive Values'!$Q$14)/2,IF(A25="Dodgers",('Offensive Values'!$P$15+'Offensive Values'!$Q$15)/2,IF(A25="Marlins",('Offensive Values'!$P$16+'Offensive Values'!$Q$16)/2,IF(A25="Brewers",('Offensive Values'!$P$17+'Offensive Values'!$Q$17)/2,IF(A25="Twins",('Offensive Values'!$P$18+'Offensive Values'!$Q$18)/2,IF(A25="Mets",('Offensive Values'!$P$19+'Offensive Values'!$Q$19)/2,IF(A25="Yankees",('Offensive Values'!$P$20+'Offensive Values'!$Q$20)/2,IF(A25="Athletics",('Offensive Values'!$P$21+'Offensive Values'!$Q$21)/2,IF(A25="Phillies",('Offensive Values'!$P$22+'Offensive Values'!$Q$22)/2,IF(A25="Pirates",('Offensive Values'!$P$23+'Offensive Values'!$Q$23)/2,IF(A25="Padres",('Offensive Values'!$P$24+'Offensive Values'!$Q$24)/2,IF(A25="Giants",('Offensive Values'!$P$25+'Offensive Values'!$Q$25)/2,IF(A25="Mariners",('Offensive Values'!$P$26+'Offensive Values'!$Q$26)/2,IF(A25="Cardinals",('Offensive Values'!$P$27+'Offensive Values'!$Q$27)/2,IF(A25="Rays",('Offensive Values'!$P$28+'Offensive Values'!$Q$28)/2,IF(A25="Rangers",('Offensive Values'!$P$29+'Offensive Values'!$Q$29)/2,IF(A25="Blue Jays",('Offensive Values'!$P$30+'Offensive Values'!$Q$30)/2,IF(A25="Nationals",('Offensive Values'!$P$31+'Offensive Values'!$Q$31)/2))))))))))))))))))))))))))))))</f>
        <v>1.0446152290423703</v>
      </c>
      <c r="B26" s="17" t="s">
        <v>71</v>
      </c>
      <c r="C26" s="15">
        <f>IF(C25="Diamondbacks",('Offensive Values'!$P$2+'Offensive Values'!$Q$2)/2,IF(C25="Braves",('Offensive Values'!$P$3+'Offensive Values'!$Q$3)/2,IF(C25="Orioles",('Offensive Values'!$P$4+'Offensive Values'!$Q$4)/2,IF(C25="Red Sox",('Offensive Values'!$P$5+'Offensive Values'!$Q$5)/2,IF(C25="Cubs",('Offensive Values'!$P$6+'Offensive Values'!$Q$6)/2,IF(C25="White Sox",('Offensive Values'!$P$7+'Offensive Values'!$Q$7)/2,IF(C25="Reds",('Offensive Values'!$P$8+'Offensive Values'!$Q$8)/2,IF(C25="Indians",('Offensive Values'!$P$9+'Offensive Values'!$Q$9)/2,IF(C25="Rockies",('Offensive Values'!$P$10+'Offensive Values'!$Q$10)/2,IF(C25="Tigers",('Offensive Values'!$P$11+'Offensive Values'!$Q$11)/2,IF(C25="Astros",('Offensive Values'!$P$12+'Offensive Values'!$Q$12)/2,IF(C25="Royals",('Offensive Values'!$P$13+'Offensive Values'!$Q$13)/2,IF(C25="Angels",('Offensive Values'!$P$14+'Offensive Values'!$Q$14)/2,IF(C25="Dodgers",('Offensive Values'!$P$15+'Offensive Values'!$Q$15)/2,IF(C25="Marlins",('Offensive Values'!$P$16+'Offensive Values'!$Q$16)/2,IF(C25="Brewers",('Offensive Values'!$P$17+'Offensive Values'!$Q$17)/2,IF(C25="Twins",('Offensive Values'!$P$18+'Offensive Values'!$Q$18)/2,IF(C25="Mets",('Offensive Values'!$P$19+'Offensive Values'!$Q$19)/2,IF(C25="Yankees",('Offensive Values'!$P$20+'Offensive Values'!$Q$20)/2,IF(C25="Athletics",('Offensive Values'!$P$21+'Offensive Values'!$Q$21)/2,IF(C25="Phillies",('Offensive Values'!$P$22+'Offensive Values'!$Q$22)/2,IF(C25="Pirates",('Offensive Values'!$P$23+'Offensive Values'!$Q$23)/2,IF(C25="Padres",('Offensive Values'!$P$24+'Offensive Values'!$Q$24)/2,IF(C25="Giants",('Offensive Values'!$P$25+'Offensive Values'!$Q$25)/2,IF(C25="Mariners",('Offensive Values'!$P$26+'Offensive Values'!$Q$26)/2,IF(C25="Cardinals",('Offensive Values'!$P$27+'Offensive Values'!$Q$27)/2,IF(C25="Rays",('Offensive Values'!$P$28+'Offensive Values'!$Q$28)/2,IF(C25="Rangers",('Offensive Values'!$P$29+'Offensive Values'!$Q$29)/2,IF(C25="Blue Jays",('Offensive Values'!$P$30+'Offensive Values'!$Q$30)/2,IF(C25="Nationals",('Offensive Values'!$P$31+'Offensive Values'!$Q$31)/2))))))))))))))))))))))))))))))</f>
        <v>0.99018606532510867</v>
      </c>
      <c r="D26" s="16">
        <v>8.5</v>
      </c>
      <c r="E26" s="15">
        <f>IF(E25="Diamondbacks",('Offensive Values'!$P$2+'Offensive Values'!$Q$2)/2,IF(E25="Braves",('Offensive Values'!$P$3+'Offensive Values'!$Q$3)/2,IF(E25="Orioles",('Offensive Values'!$P$4+'Offensive Values'!$Q$4)/2,IF(E25="Red Sox",('Offensive Values'!$P$5+'Offensive Values'!$Q$5)/2,IF(E25="Cubs",('Offensive Values'!$P$6+'Offensive Values'!$Q$6)/2,IF(E25="White Sox",('Offensive Values'!$P$7+'Offensive Values'!$Q$7)/2,IF(E25="Reds",('Offensive Values'!$P$8+'Offensive Values'!$Q$8)/2,IF(E25="Indians",('Offensive Values'!$P$9+'Offensive Values'!$Q$9)/2,IF(E25="Rockies",('Offensive Values'!$P$10+'Offensive Values'!$Q$10)/2,IF(E25="Tigers",('Offensive Values'!$P$11+'Offensive Values'!$Q$11)/2,IF(E25="Astros",('Offensive Values'!$P$12+'Offensive Values'!$Q$12)/2,IF(E25="Royals",('Offensive Values'!$P$13+'Offensive Values'!$Q$13)/2,IF(E25="Angels",('Offensive Values'!$P$14+'Offensive Values'!$Q$14)/2,IF(E25="Dodgers",('Offensive Values'!$P$15+'Offensive Values'!$Q$15)/2,IF(E25="Marlins",('Offensive Values'!$P$16+'Offensive Values'!$Q$16)/2,IF(E25="Brewers",('Offensive Values'!$P$17+'Offensive Values'!$Q$17)/2,IF(E25="Twins",('Offensive Values'!$P$18+'Offensive Values'!$Q$18)/2,IF(E25="Mets",('Offensive Values'!$P$19+'Offensive Values'!$Q$19)/2,IF(E25="Yankees",('Offensive Values'!$P$20+'Offensive Values'!$Q$20)/2,IF(E25="Athletics",('Offensive Values'!$P$21+'Offensive Values'!$Q$21)/2,IF(E25="Phillies",('Offensive Values'!$P$22+'Offensive Values'!$Q$22)/2,IF(E25="Pirates",('Offensive Values'!$P$23+'Offensive Values'!$Q$23)/2,IF(E25="Padres",('Offensive Values'!$P$24+'Offensive Values'!$Q$24)/2,IF(E25="Giants",('Offensive Values'!$P$25+'Offensive Values'!$Q$25)/2,IF(E25="Mariners",('Offensive Values'!$P$26+'Offensive Values'!$Q$26)/2,IF(E25="Cardinals",('Offensive Values'!$P$27+'Offensive Values'!$Q$27)/2,IF(E25="Rays",('Offensive Values'!$P$28+'Offensive Values'!$Q$28)/2,IF(E25="Rangers",('Offensive Values'!$P$29+'Offensive Values'!$Q$29)/2,IF(E25="Blue Jays",('Offensive Values'!$P$30+'Offensive Values'!$Q$30)/2,IF(E25="Nationals",('Offensive Values'!$P$31+'Offensive Values'!$Q$31)/2))))))))))))))))))))))))))))))</f>
        <v>1.0221710992011326</v>
      </c>
      <c r="F26" s="17" t="s">
        <v>71</v>
      </c>
      <c r="G26" s="15">
        <f>IF(G25="Diamondbacks",('Offensive Values'!$P$2+'Offensive Values'!$Q$2)/2,IF(G25="Braves",('Offensive Values'!$P$3+'Offensive Values'!$Q$3)/2,IF(G25="Orioles",('Offensive Values'!$P$4+'Offensive Values'!$Q$4)/2,IF(G25="Red Sox",('Offensive Values'!$P$5+'Offensive Values'!$Q$5)/2,IF(G25="Cubs",('Offensive Values'!$P$6+'Offensive Values'!$Q$6)/2,IF(G25="White Sox",('Offensive Values'!$P$7+'Offensive Values'!$Q$7)/2,IF(G25="Reds",('Offensive Values'!$P$8+'Offensive Values'!$Q$8)/2,IF(G25="Indians",('Offensive Values'!$P$9+'Offensive Values'!$Q$9)/2,IF(G25="Rockies",('Offensive Values'!$P$10+'Offensive Values'!$Q$10)/2,IF(G25="Tigers",('Offensive Values'!$P$11+'Offensive Values'!$Q$11)/2,IF(G25="Astros",('Offensive Values'!$P$12+'Offensive Values'!$Q$12)/2,IF(G25="Royals",('Offensive Values'!$P$13+'Offensive Values'!$Q$13)/2,IF(G25="Angels",('Offensive Values'!$P$14+'Offensive Values'!$Q$14)/2,IF(G25="Dodgers",('Offensive Values'!$P$15+'Offensive Values'!$Q$15)/2,IF(G25="Marlins",('Offensive Values'!$P$16+'Offensive Values'!$Q$16)/2,IF(G25="Brewers",('Offensive Values'!$P$17+'Offensive Values'!$Q$17)/2,IF(G25="Twins",('Offensive Values'!$P$18+'Offensive Values'!$Q$18)/2,IF(G25="Mets",('Offensive Values'!$P$19+'Offensive Values'!$Q$19)/2,IF(G25="Yankees",('Offensive Values'!$P$20+'Offensive Values'!$Q$20)/2,IF(G25="Athletics",('Offensive Values'!$P$21+'Offensive Values'!$Q$21)/2,IF(G25="Phillies",('Offensive Values'!$P$22+'Offensive Values'!$Q$22)/2,IF(G25="Pirates",('Offensive Values'!$P$23+'Offensive Values'!$Q$23)/2,IF(G25="Padres",('Offensive Values'!$P$24+'Offensive Values'!$Q$24)/2,IF(G25="Giants",('Offensive Values'!$P$25+'Offensive Values'!$Q$25)/2,IF(G25="Mariners",('Offensive Values'!$P$26+'Offensive Values'!$Q$26)/2,IF(G25="Cardinals",('Offensive Values'!$P$27+'Offensive Values'!$Q$27)/2,IF(G25="Rays",('Offensive Values'!$P$28+'Offensive Values'!$Q$28)/2,IF(G25="Rangers",('Offensive Values'!$P$29+'Offensive Values'!$Q$29)/2,IF(G25="Blue Jays",('Offensive Values'!$P$30+'Offensive Values'!$Q$30)/2,IF(G25="Nationals",('Offensive Values'!$P$31+'Offensive Values'!$Q$31)/2))))))))))))))))))))))))))))))</f>
        <v>0.9619273940742239</v>
      </c>
      <c r="H26" s="16">
        <v>11</v>
      </c>
      <c r="I26" s="15">
        <f>IF(I25="Diamondbacks",('Offensive Values'!$P$2+'Offensive Values'!$Q$2)/2,IF(I25="Braves",('Offensive Values'!$P$3+'Offensive Values'!$Q$3)/2,IF(I25="Orioles",('Offensive Values'!$P$4+'Offensive Values'!$Q$4)/2,IF(I25="Red Sox",('Offensive Values'!$P$5+'Offensive Values'!$Q$5)/2,IF(I25="Cubs",('Offensive Values'!$P$6+'Offensive Values'!$Q$6)/2,IF(I25="White Sox",('Offensive Values'!$P$7+'Offensive Values'!$Q$7)/2,IF(I25="Reds",('Offensive Values'!$P$8+'Offensive Values'!$Q$8)/2,IF(I25="Indians",('Offensive Values'!$P$9+'Offensive Values'!$Q$9)/2,IF(I25="Rockies",('Offensive Values'!$P$10+'Offensive Values'!$Q$10)/2,IF(I25="Tigers",('Offensive Values'!$P$11+'Offensive Values'!$Q$11)/2,IF(I25="Astros",('Offensive Values'!$P$12+'Offensive Values'!$Q$12)/2,IF(I25="Royals",('Offensive Values'!$P$13+'Offensive Values'!$Q$13)/2,IF(I25="Angels",('Offensive Values'!$P$14+'Offensive Values'!$Q$14)/2,IF(I25="Dodgers",('Offensive Values'!$P$15+'Offensive Values'!$Q$15)/2,IF(I25="Marlins",('Offensive Values'!$P$16+'Offensive Values'!$Q$16)/2,IF(I25="Brewers",('Offensive Values'!$P$17+'Offensive Values'!$Q$17)/2,IF(I25="Twins",('Offensive Values'!$P$18+'Offensive Values'!$Q$18)/2,IF(I25="Mets",('Offensive Values'!$P$19+'Offensive Values'!$Q$19)/2,IF(I25="Yankees",('Offensive Values'!$P$20+'Offensive Values'!$Q$20)/2,IF(I25="Athletics",('Offensive Values'!$P$21+'Offensive Values'!$Q$21)/2,IF(I25="Phillies",('Offensive Values'!$P$22+'Offensive Values'!$Q$22)/2,IF(I25="Pirates",('Offensive Values'!$P$23+'Offensive Values'!$Q$23)/2,IF(I25="Padres",('Offensive Values'!$P$24+'Offensive Values'!$Q$24)/2,IF(I25="Giants",('Offensive Values'!$P$25+'Offensive Values'!$Q$25)/2,IF(I25="Mariners",('Offensive Values'!$P$26+'Offensive Values'!$Q$26)/2,IF(I25="Cardinals",('Offensive Values'!$P$27+'Offensive Values'!$Q$27)/2,IF(I25="Rays",('Offensive Values'!$P$28+'Offensive Values'!$Q$28)/2,IF(I25="Rangers",('Offensive Values'!$P$29+'Offensive Values'!$Q$29)/2,IF(I25="Blue Jays",('Offensive Values'!$P$30+'Offensive Values'!$Q$30)/2,IF(I25="Nationals",('Offensive Values'!$P$31+'Offensive Values'!$Q$31)/2))))))))))))))))))))))))))))))</f>
        <v>0.93773384568712714</v>
      </c>
      <c r="J26" s="17" t="s">
        <v>71</v>
      </c>
      <c r="K26" s="15">
        <f>IF(K25="Diamondbacks",('Offensive Values'!$P$2+'Offensive Values'!$Q$2)/2,IF(K25="Braves",('Offensive Values'!$P$3+'Offensive Values'!$Q$3)/2,IF(K25="Orioles",('Offensive Values'!$P$4+'Offensive Values'!$Q$4)/2,IF(K25="Red Sox",('Offensive Values'!$P$5+'Offensive Values'!$Q$5)/2,IF(K25="Cubs",('Offensive Values'!$P$6+'Offensive Values'!$Q$6)/2,IF(K25="White Sox",('Offensive Values'!$P$7+'Offensive Values'!$Q$7)/2,IF(K25="Reds",('Offensive Values'!$P$8+'Offensive Values'!$Q$8)/2,IF(K25="Indians",('Offensive Values'!$P$9+'Offensive Values'!$Q$9)/2,IF(K25="Rockies",('Offensive Values'!$P$10+'Offensive Values'!$Q$10)/2,IF(K25="Tigers",('Offensive Values'!$P$11+'Offensive Values'!$Q$11)/2,IF(K25="Astros",('Offensive Values'!$P$12+'Offensive Values'!$Q$12)/2,IF(K25="Royals",('Offensive Values'!$P$13+'Offensive Values'!$Q$13)/2,IF(K25="Angels",('Offensive Values'!$P$14+'Offensive Values'!$Q$14)/2,IF(K25="Dodgers",('Offensive Values'!$P$15+'Offensive Values'!$Q$15)/2,IF(K25="Marlins",('Offensive Values'!$P$16+'Offensive Values'!$Q$16)/2,IF(K25="Brewers",('Offensive Values'!$P$17+'Offensive Values'!$Q$17)/2,IF(K25="Twins",('Offensive Values'!$P$18+'Offensive Values'!$Q$18)/2,IF(K25="Mets",('Offensive Values'!$P$19+'Offensive Values'!$Q$19)/2,IF(K25="Yankees",('Offensive Values'!$P$20+'Offensive Values'!$Q$20)/2,IF(K25="Athletics",('Offensive Values'!$P$21+'Offensive Values'!$Q$21)/2,IF(K25="Phillies",('Offensive Values'!$P$22+'Offensive Values'!$Q$22)/2,IF(K25="Pirates",('Offensive Values'!$P$23+'Offensive Values'!$Q$23)/2,IF(K25="Padres",('Offensive Values'!$P$24+'Offensive Values'!$Q$24)/2,IF(K25="Giants",('Offensive Values'!$P$25+'Offensive Values'!$Q$25)/2,IF(K25="Mariners",('Offensive Values'!$P$26+'Offensive Values'!$Q$26)/2,IF(K25="Cardinals",('Offensive Values'!$P$27+'Offensive Values'!$Q$27)/2,IF(K25="Rays",('Offensive Values'!$P$28+'Offensive Values'!$Q$28)/2,IF(K25="Rangers",('Offensive Values'!$P$29+'Offensive Values'!$Q$29)/2,IF(K25="Blue Jays",('Offensive Values'!$P$30+'Offensive Values'!$Q$30)/2,IF(K25="Nationals",('Offensive Values'!$P$31+'Offensive Values'!$Q$31)/2))))))))))))))))))))))))))))))</f>
        <v>0.99064111639195063</v>
      </c>
      <c r="L26" s="16">
        <v>9</v>
      </c>
      <c r="Q26" s="18"/>
    </row>
    <row r="27" spans="1:17">
      <c r="A27" s="19">
        <f>AVERAGE('Starting Pitchers'!B95:E95)*(6/9)</f>
        <v>3.4266666666666667</v>
      </c>
      <c r="B27" s="17" t="s">
        <v>73</v>
      </c>
      <c r="C27" s="19">
        <f>AVERAGE('Starting Pitchers'!B88:E88)*(6/9)</f>
        <v>2.6616666666666662</v>
      </c>
      <c r="D27" s="17" t="s">
        <v>45</v>
      </c>
      <c r="E27" s="19">
        <f>AVERAGE('Starting Pitchers'!B48:E48)*(6/9)</f>
        <v>2.9033333333333329</v>
      </c>
      <c r="F27" s="17" t="s">
        <v>73</v>
      </c>
      <c r="G27" s="19">
        <f>AVERAGE('Starting Pitchers'!B71:E71)*(6/9)</f>
        <v>2.61</v>
      </c>
      <c r="H27" s="17" t="s">
        <v>45</v>
      </c>
      <c r="I27" s="19">
        <f>AVERAGE(4.5)*(6/9)</f>
        <v>3</v>
      </c>
      <c r="J27" s="17" t="s">
        <v>73</v>
      </c>
      <c r="K27" s="19">
        <f>AVERAGE('Starting Pitchers'!$B$3:$E$3)*(6/9)</f>
        <v>2.3266666666666667</v>
      </c>
      <c r="L27" s="17" t="s">
        <v>45</v>
      </c>
      <c r="Q27" s="18"/>
    </row>
    <row r="28" spans="1:17">
      <c r="A28" s="19">
        <f>IF(A25="Diamondbacks", AVERAGE('Bullpen Values'!$K$5:$N$5)*(3/9), IF(A25="Braves",AVERAGE('Bullpen Values'!$K$6:$N$6)*(3/9),IF(A25="Orioles",AVERAGE('Bullpen Values'!$K$7:$N$7)*(3/9),IF(A25="Red Sox",AVERAGE('Bullpen Values'!$K$8:$N$8)*(3/9),IF(A25="Cubs",AVERAGE('Bullpen Values'!$K$9:$N$9)*(3/9),IF(A25="White Sox",AVERAGE('Bullpen Values'!$K$10:$N$10)*(3/9),IF(A25="Reds",AVERAGE('Bullpen Values'!$K$11:$N$11)*(3/9),IF(A25="Indians",AVERAGE('Bullpen Values'!$K$12:$N$12)*(3/9),IF(A25="Rockies",AVERAGE('Bullpen Values'!$K$13:$N$13)*(3/9),IF(A25="Tigers",AVERAGE('Bullpen Values'!$K$14:$N$14)*(3/9),IF(A25="Astros",AVERAGE('Bullpen Values'!$K$15:$N$15)*(3/9),IF(A25="Royals",AVERAGE('Bullpen Values'!$K$16:$N$16)*(3/9),IF(A25="Angels",AVERAGE('Bullpen Values'!$K$17:$N$17)*(3/9),IF(A25="Dodgers",AVERAGE('Bullpen Values'!$K$18:$N$18)*(3/9),IF(A25="Marlins",AVERAGE('Bullpen Values'!$K$19:$N$19)*(3/9),IF(A25="Brewers",AVERAGE('Bullpen Values'!$K$20:$N$20)*(3/9),IF(A25="Twins",AVERAGE('Bullpen Values'!$K$21:$N$21)*(3/9),IF(A25="Mets",AVERAGE('Bullpen Values'!$K$22:$N$22)*(3/9),IF(A25="Yankees",AVERAGE('Bullpen Values'!$K$23:$N$23)*(3/9),IF(A25="Athletics",AVERAGE('Bullpen Values'!$K$24:$N$24)*(3/9),IF(A25="Phillies",AVERAGE('Bullpen Values'!$K$25:$N$25)*(3/9),IF(A25="Pirates",AVERAGE('Bullpen Values'!$K$26:$N$26)*(3/9),IF(A25="Padres",AVERAGE('Bullpen Values'!$K$27:$N$27)*(3/9),IF(A25="Giants",AVERAGE('Bullpen Values'!$K$28:$N$28)*(3/9),IF(A25="Mariners",AVERAGE('Bullpen Values'!$K$29:$N$29)*(3/9),IF(A25="Cardinals",AVERAGE('Bullpen Values'!$K$30:$N$30)*(3/9),IF(A25="Rays",AVERAGE('Bullpen Values'!$K$31:$N$31)*(3/9),IF(A25="Rangers",AVERAGE('Bullpen Values'!$K$32:$N$32)*(3/9),IF(A25="Blue Jays",AVERAGE('Bullpen Values'!$K$33:$N$33)*(3/9),IF(A25="Nationals",AVERAGE('Bullpen Values'!$K$34:$N$34)*(3/9)))))))))))))))))))))))))))))))</f>
        <v>1.691111111111111</v>
      </c>
      <c r="B28" s="17" t="s">
        <v>76</v>
      </c>
      <c r="C28" s="19">
        <f>IF(C25="Diamondbacks", AVERAGE('Bullpen Values'!$K$5:$N$5)*(3/9), IF(C25="Braves",AVERAGE('Bullpen Values'!$K$6:$N$6)*(3/9),IF(C25="Orioles",AVERAGE('Bullpen Values'!$K$7:$N$7)*(3/9),IF(C25="Red Sox",AVERAGE('Bullpen Values'!$K$8:$N$8)*(3/9),IF(C25="Cubs",AVERAGE('Bullpen Values'!$K$9:$N$9)*(3/9),IF(C25="White Sox",AVERAGE('Bullpen Values'!$K$10:$N$10)*(3/9),IF(C25="Reds",AVERAGE('Bullpen Values'!$K$11:$N$11)*(3/9),IF(C25="Indians",AVERAGE('Bullpen Values'!$K$12:$N$12)*(3/9),IF(C25="Rockies",AVERAGE('Bullpen Values'!$K$13:$N$13)*(3/9),IF(C25="Tigers",AVERAGE('Bullpen Values'!$K$14:$N$14)*(3/9),IF(C25="Astros",AVERAGE('Bullpen Values'!$K$15:$N$15)*(3/9),IF(C25="Royals",AVERAGE('Bullpen Values'!$K$16:$N$16)*(3/9),IF(C25="Angels",AVERAGE('Bullpen Values'!$K$17:$N$17)*(3/9),IF(C25="Dodgers",AVERAGE('Bullpen Values'!$K$18:$N$18)*(3/9),IF(C25="Marlins",AVERAGE('Bullpen Values'!$K$19:$N$19)*(3/9),IF(C25="Brewers",AVERAGE('Bullpen Values'!$K$20:$N$20)*(3/9),IF(C25="Twins",AVERAGE('Bullpen Values'!$K$21:$N$21)*(3/9),IF(C25="Mets",AVERAGE('Bullpen Values'!$K$22:$N$22)*(3/9),IF(C25="Yankees",AVERAGE('Bullpen Values'!$K$23:$N$23)*(3/9),IF(C25="Athletics",AVERAGE('Bullpen Values'!$K$24:$N$24)*(3/9),IF(C25="Phillies",AVERAGE('Bullpen Values'!$K$25:$N$25)*(3/9),IF(C25="Pirates",AVERAGE('Bullpen Values'!$K$26:$N$26)*(3/9),IF(C25="Padres",AVERAGE('Bullpen Values'!$K$27:$N$27)*(3/9),IF(C25="Giants",AVERAGE('Bullpen Values'!$K$28:$N$28)*(3/9),IF(C25="Mariners",AVERAGE('Bullpen Values'!$K$29:$N$29)*(3/9),IF(C25="Cardinals",AVERAGE('Bullpen Values'!$K$30:$N$30)*(3/9),IF(C25="Rays",AVERAGE('Bullpen Values'!$K$31:$N$31)*(3/9),IF(C25="Rangers",AVERAGE('Bullpen Values'!$K$32:$N$32)*(3/9),IF(C25="Blue Jays",AVERAGE('Bullpen Values'!$K$33:$N$33)*(3/9),IF(C25="Nationals",AVERAGE('Bullpen Values'!$K$34:$N$34)*(3/9)))))))))))))))))))))))))))))))</f>
        <v>1.4844444444444442</v>
      </c>
      <c r="D28" s="16">
        <f>IF(D26=6.5,1.67,IF(D26=7,1.72,IF(D26=7.5,1.76,IF(D26=8,1.8,IF(D26=8.5,1.84,IF(D26=9,1.88,IF(D26=9.5,1.92,IF(D26=10,1.95,IF(D26=10.5,1.98,IF(D26=11,2.01,IF(D26=11.5,2.04,IF(D26=12,2.07,IF(D26=12.5,2.1,IF(D26=13,2.12))))))))))))))</f>
        <v>1.84</v>
      </c>
      <c r="E28" s="19">
        <f>IF(E25="Diamondbacks", AVERAGE('Bullpen Values'!$K$5:$N$5)*(3/9), IF(E25="Braves",AVERAGE('Bullpen Values'!$K$6:$N$6)*(3/9),IF(E25="Orioles",AVERAGE('Bullpen Values'!$K$7:$N$7)*(3/9),IF(E25="Red Sox",AVERAGE('Bullpen Values'!$K$8:$N$8)*(3/9),IF(E25="Cubs",AVERAGE('Bullpen Values'!$K$9:$N$9)*(3/9),IF(E25="White Sox",AVERAGE('Bullpen Values'!$K$10:$N$10)*(3/9),IF(E25="Reds",AVERAGE('Bullpen Values'!$K$11:$N$11)*(3/9),IF(E25="Indians",AVERAGE('Bullpen Values'!$K$12:$N$12)*(3/9),IF(E25="Rockies",AVERAGE('Bullpen Values'!$K$13:$N$13)*(3/9),IF(E25="Tigers",AVERAGE('Bullpen Values'!$K$14:$N$14)*(3/9),IF(E25="Astros",AVERAGE('Bullpen Values'!$K$15:$N$15)*(3/9),IF(E25="Royals",AVERAGE('Bullpen Values'!$K$16:$N$16)*(3/9),IF(E25="Angels",AVERAGE('Bullpen Values'!$K$17:$N$17)*(3/9),IF(E25="Dodgers",AVERAGE('Bullpen Values'!$K$18:$N$18)*(3/9),IF(E25="Marlins",AVERAGE('Bullpen Values'!$K$19:$N$19)*(3/9),IF(E25="Brewers",AVERAGE('Bullpen Values'!$K$20:$N$20)*(3/9),IF(E25="Twins",AVERAGE('Bullpen Values'!$K$21:$N$21)*(3/9),IF(E25="Mets",AVERAGE('Bullpen Values'!$K$22:$N$22)*(3/9),IF(E25="Yankees",AVERAGE('Bullpen Values'!$K$23:$N$23)*(3/9),IF(E25="Athletics",AVERAGE('Bullpen Values'!$K$24:$N$24)*(3/9),IF(E25="Phillies",AVERAGE('Bullpen Values'!$K$25:$N$25)*(3/9),IF(E25="Pirates",AVERAGE('Bullpen Values'!$K$26:$N$26)*(3/9),IF(E25="Padres",AVERAGE('Bullpen Values'!$K$27:$N$27)*(3/9),IF(E25="Giants",AVERAGE('Bullpen Values'!$K$28:$N$28)*(3/9),IF(E25="Mariners",AVERAGE('Bullpen Values'!$K$29:$N$29)*(3/9),IF(E25="Cardinals",AVERAGE('Bullpen Values'!$K$30:$N$30)*(3/9),IF(E25="Rays",AVERAGE('Bullpen Values'!$K$31:$N$31)*(3/9),IF(E25="Rangers",AVERAGE('Bullpen Values'!$K$32:$N$32)*(3/9),IF(E25="Blue Jays",AVERAGE('Bullpen Values'!$K$33:$N$33)*(3/9),IF(E25="Nationals",AVERAGE('Bullpen Values'!$K$34:$N$34)*(3/9)))))))))))))))))))))))))))))))</f>
        <v>1.3233333333333333</v>
      </c>
      <c r="F28" s="17" t="s">
        <v>76</v>
      </c>
      <c r="G28" s="19">
        <f>IF(G25="Diamondbacks", AVERAGE('Bullpen Values'!$K$5:$N$5)*(3/9), IF(G25="Braves",AVERAGE('Bullpen Values'!$K$6:$N$6)*(3/9),IF(G25="Orioles",AVERAGE('Bullpen Values'!$K$7:$N$7)*(3/9),IF(G25="Red Sox",AVERAGE('Bullpen Values'!$K$8:$N$8)*(3/9),IF(G25="Cubs",AVERAGE('Bullpen Values'!$K$9:$N$9)*(3/9),IF(G25="White Sox",AVERAGE('Bullpen Values'!$K$10:$N$10)*(3/9),IF(G25="Reds",AVERAGE('Bullpen Values'!$K$11:$N$11)*(3/9),IF(G25="Indians",AVERAGE('Bullpen Values'!$K$12:$N$12)*(3/9),IF(G25="Rockies",AVERAGE('Bullpen Values'!$K$13:$N$13)*(3/9),IF(G25="Tigers",AVERAGE('Bullpen Values'!$K$14:$N$14)*(3/9),IF(G25="Astros",AVERAGE('Bullpen Values'!$K$15:$N$15)*(3/9),IF(G25="Royals",AVERAGE('Bullpen Values'!$K$16:$N$16)*(3/9),IF(G25="Angels",AVERAGE('Bullpen Values'!$K$17:$N$17)*(3/9),IF(G25="Dodgers",AVERAGE('Bullpen Values'!$K$18:$N$18)*(3/9),IF(G25="Marlins",AVERAGE('Bullpen Values'!$K$19:$N$19)*(3/9),IF(G25="Brewers",AVERAGE('Bullpen Values'!$K$20:$N$20)*(3/9),IF(G25="Twins",AVERAGE('Bullpen Values'!$K$21:$N$21)*(3/9),IF(G25="Mets",AVERAGE('Bullpen Values'!$K$22:$N$22)*(3/9),IF(G25="Yankees",AVERAGE('Bullpen Values'!$K$23:$N$23)*(3/9),IF(G25="Athletics",AVERAGE('Bullpen Values'!$K$24:$N$24)*(3/9),IF(G25="Phillies",AVERAGE('Bullpen Values'!$K$25:$N$25)*(3/9),IF(G25="Pirates",AVERAGE('Bullpen Values'!$K$26:$N$26)*(3/9),IF(G25="Padres",AVERAGE('Bullpen Values'!$K$27:$N$27)*(3/9),IF(G25="Giants",AVERAGE('Bullpen Values'!$K$28:$N$28)*(3/9),IF(G25="Mariners",AVERAGE('Bullpen Values'!$K$29:$N$29)*(3/9),IF(G25="Cardinals",AVERAGE('Bullpen Values'!$K$30:$N$30)*(3/9),IF(G25="Rays",AVERAGE('Bullpen Values'!$K$31:$N$31)*(3/9),IF(G25="Rangers",AVERAGE('Bullpen Values'!$K$32:$N$32)*(3/9),IF(G25="Blue Jays",AVERAGE('Bullpen Values'!$K$33:$N$33)*(3/9),IF(G25="Nationals",AVERAGE('Bullpen Values'!$K$34:$N$34)*(3/9)))))))))))))))))))))))))))))))</f>
        <v>1.6444444444444442</v>
      </c>
      <c r="H28" s="16">
        <f>IF(H26=6.5,1.67,IF(H26=7,1.72,IF(H26=7.5,1.76,IF(H26=8,1.8,IF(H26=8.5,1.84,IF(H26=9,1.88,IF(H26=9.5,1.92,IF(H26=10,1.95,IF(H26=10.5,1.98,IF(H26=11,2.01,IF(H26=11.5,2.04,IF(H26=12,2.07,IF(H26=12.5,2.1,IF(H26=13,2.12))))))))))))))</f>
        <v>2.0099999999999998</v>
      </c>
      <c r="I28" s="19">
        <f>IF(I25="Diamondbacks", AVERAGE('Bullpen Values'!$K$5:$N$5)*(3/9), IF(I25="Braves",AVERAGE('Bullpen Values'!$K$6:$N$6)*(3/9),IF(I25="Orioles",AVERAGE('Bullpen Values'!$K$7:$N$7)*(3/9),IF(I25="Red Sox",AVERAGE('Bullpen Values'!$K$8:$N$8)*(3/9),IF(I25="Cubs",AVERAGE('Bullpen Values'!$K$9:$N$9)*(3/9),IF(I25="White Sox",AVERAGE('Bullpen Values'!$K$10:$N$10)*(3/9),IF(I25="Reds",AVERAGE('Bullpen Values'!$K$11:$N$11)*(3/9),IF(I25="Indians",AVERAGE('Bullpen Values'!$K$12:$N$12)*(3/9),IF(I25="Rockies",AVERAGE('Bullpen Values'!$K$13:$N$13)*(3/9),IF(I25="Tigers",AVERAGE('Bullpen Values'!$K$14:$N$14)*(3/9),IF(I25="Astros",AVERAGE('Bullpen Values'!$K$15:$N$15)*(3/9),IF(I25="Royals",AVERAGE('Bullpen Values'!$K$16:$N$16)*(3/9),IF(I25="Angels",AVERAGE('Bullpen Values'!$K$17:$N$17)*(3/9),IF(I25="Dodgers",AVERAGE('Bullpen Values'!$K$18:$N$18)*(3/9),IF(I25="Marlins",AVERAGE('Bullpen Values'!$K$19:$N$19)*(3/9),IF(I25="Brewers",AVERAGE('Bullpen Values'!$K$20:$N$20)*(3/9),IF(I25="Twins",AVERAGE('Bullpen Values'!$K$21:$N$21)*(3/9),IF(I25="Mets",AVERAGE('Bullpen Values'!$K$22:$N$22)*(3/9),IF(I25="Yankees",AVERAGE('Bullpen Values'!$K$23:$N$23)*(3/9),IF(I25="Athletics",AVERAGE('Bullpen Values'!$K$24:$N$24)*(3/9),IF(I25="Phillies",AVERAGE('Bullpen Values'!$K$25:$N$25)*(3/9),IF(I25="Pirates",AVERAGE('Bullpen Values'!$K$26:$N$26)*(3/9),IF(I25="Padres",AVERAGE('Bullpen Values'!$K$27:$N$27)*(3/9),IF(I25="Giants",AVERAGE('Bullpen Values'!$K$28:$N$28)*(3/9),IF(I25="Mariners",AVERAGE('Bullpen Values'!$K$29:$N$29)*(3/9),IF(I25="Cardinals",AVERAGE('Bullpen Values'!$K$30:$N$30)*(3/9),IF(I25="Rays",AVERAGE('Bullpen Values'!$K$31:$N$31)*(3/9),IF(I25="Rangers",AVERAGE('Bullpen Values'!$K$32:$N$32)*(3/9),IF(I25="Blue Jays",AVERAGE('Bullpen Values'!$K$33:$N$33)*(3/9),IF(I25="Nationals",AVERAGE('Bullpen Values'!$K$34:$N$34)*(3/9)))))))))))))))))))))))))))))))</f>
        <v>1.4444444444444442</v>
      </c>
      <c r="J28" s="17" t="s">
        <v>76</v>
      </c>
      <c r="K28" s="19">
        <f>IF(K25="Diamondbacks", AVERAGE('Bullpen Values'!$K$5:$N$5)*(3/9), IF(K25="Braves",AVERAGE('Bullpen Values'!$K$6:$N$6)*(3/9),IF(K25="Orioles",AVERAGE('Bullpen Values'!$K$7:$N$7)*(3/9),IF(K25="Red Sox",AVERAGE('Bullpen Values'!$K$8:$N$8)*(3/9),IF(K25="Cubs",AVERAGE('Bullpen Values'!$K$9:$N$9)*(3/9),IF(K25="White Sox",AVERAGE('Bullpen Values'!$K$10:$N$10)*(3/9),IF(K25="Reds",AVERAGE('Bullpen Values'!$K$11:$N$11)*(3/9),IF(K25="Indians",AVERAGE('Bullpen Values'!$K$12:$N$12)*(3/9),IF(K25="Rockies",AVERAGE('Bullpen Values'!$K$13:$N$13)*(3/9),IF(K25="Tigers",AVERAGE('Bullpen Values'!$K$14:$N$14)*(3/9),IF(K25="Astros",AVERAGE('Bullpen Values'!$K$15:$N$15)*(3/9),IF(K25="Royals",AVERAGE('Bullpen Values'!$K$16:$N$16)*(3/9),IF(K25="Angels",AVERAGE('Bullpen Values'!$K$17:$N$17)*(3/9),IF(K25="Dodgers",AVERAGE('Bullpen Values'!$K$18:$N$18)*(3/9),IF(K25="Marlins",AVERAGE('Bullpen Values'!$K$19:$N$19)*(3/9),IF(K25="Brewers",AVERAGE('Bullpen Values'!$K$20:$N$20)*(3/9),IF(K25="Twins",AVERAGE('Bullpen Values'!$K$21:$N$21)*(3/9),IF(K25="Mets",AVERAGE('Bullpen Values'!$K$22:$N$22)*(3/9),IF(K25="Yankees",AVERAGE('Bullpen Values'!$K$23:$N$23)*(3/9),IF(K25="Athletics",AVERAGE('Bullpen Values'!$K$24:$N$24)*(3/9),IF(K25="Phillies",AVERAGE('Bullpen Values'!$K$25:$N$25)*(3/9),IF(K25="Pirates",AVERAGE('Bullpen Values'!$K$26:$N$26)*(3/9),IF(K25="Padres",AVERAGE('Bullpen Values'!$K$27:$N$27)*(3/9),IF(K25="Giants",AVERAGE('Bullpen Values'!$K$28:$N$28)*(3/9),IF(K25="Mariners",AVERAGE('Bullpen Values'!$K$29:$N$29)*(3/9),IF(K25="Cardinals",AVERAGE('Bullpen Values'!$K$30:$N$30)*(3/9),IF(K25="Rays",AVERAGE('Bullpen Values'!$K$31:$N$31)*(3/9),IF(K25="Rangers",AVERAGE('Bullpen Values'!$K$32:$N$32)*(3/9),IF(K25="Blue Jays",AVERAGE('Bullpen Values'!$K$33:$N$33)*(3/9),IF(K25="Nationals",AVERAGE('Bullpen Values'!$K$34:$N$34)*(3/9)))))))))))))))))))))))))))))))</f>
        <v>1.5422222222222219</v>
      </c>
      <c r="L28" s="16">
        <f>IF(L26=6.5,1.67,IF(L26=7,1.72,IF(L26=7.5,1.76,IF(L26=8,1.8,IF(L26=8.5,1.84,IF(L26=9,1.88,IF(L26=9.5,1.92,IF(L26=10,1.95,IF(L26=10.5,1.98,IF(L26=11,2.01,IF(L26=11.5,2.04,IF(L26=12,2.07,IF(L26=12.5,2.1,IF(L26=13,2.12))))))))))))))</f>
        <v>1.88</v>
      </c>
      <c r="Q28" s="18"/>
    </row>
    <row r="29" spans="1:17">
      <c r="A29" s="15">
        <f>(A27+A28)/$M$4</f>
        <v>1.2636488340192045</v>
      </c>
      <c r="B29" s="17" t="s">
        <v>78</v>
      </c>
      <c r="C29" s="15">
        <f>(C27+C28)/$M$4</f>
        <v>1.0237311385459533</v>
      </c>
      <c r="E29" s="15">
        <f>(E27+E28)/$M$4</f>
        <v>1.0436213991769547</v>
      </c>
      <c r="F29" s="17" t="s">
        <v>78</v>
      </c>
      <c r="G29" s="15">
        <f>(G27+G28)/$M$4</f>
        <v>1.050480109739369</v>
      </c>
      <c r="I29" s="15">
        <f>(I27+I28)/$M$4</f>
        <v>1.0973936899862826</v>
      </c>
      <c r="J29" s="17" t="s">
        <v>78</v>
      </c>
      <c r="K29" s="15">
        <f>(K27+K28)/$M$4</f>
        <v>0.95528120713305897</v>
      </c>
      <c r="Q29" s="18"/>
    </row>
    <row r="30" spans="1:17">
      <c r="A30" s="15">
        <f>A26*C29*$M$6</f>
        <v>4.6626064006771459</v>
      </c>
      <c r="B30" s="17" t="s">
        <v>18</v>
      </c>
      <c r="C30" s="15">
        <f>C26*A29*$M$6</f>
        <v>5.4554389557281997</v>
      </c>
      <c r="E30" s="15">
        <f>E26*G29*$M$6</f>
        <v>4.6816389808909076</v>
      </c>
      <c r="F30" s="17" t="s">
        <v>18</v>
      </c>
      <c r="G30" s="15">
        <f>G26*E29*$M$6</f>
        <v>4.3769517362892723</v>
      </c>
      <c r="I30" s="15">
        <f>I26*K29*$M$6</f>
        <v>3.905685907538007</v>
      </c>
      <c r="J30" s="17" t="s">
        <v>18</v>
      </c>
      <c r="K30" s="15">
        <f>K26*I29*$M$6</f>
        <v>4.7398576323389907</v>
      </c>
      <c r="Q30" s="18"/>
    </row>
    <row r="31" spans="1:17">
      <c r="A31" s="20">
        <f>POWER(A30,D28)/(POWER(A30,D28)+(POWER(C30,D28)))</f>
        <v>0.42826074749965704</v>
      </c>
      <c r="B31" s="17" t="s">
        <v>82</v>
      </c>
      <c r="C31" s="20">
        <f>POWER(C30,D28)/(POWER(C30,D28)+(POWER(A30,D28)))</f>
        <v>0.57173925250034308</v>
      </c>
      <c r="E31" s="20">
        <f>POWER(E30,H28)/(POWER(E30,H28)+(POWER(G30,H28)))</f>
        <v>0.533764637259735</v>
      </c>
      <c r="F31" s="17" t="s">
        <v>82</v>
      </c>
      <c r="G31" s="20">
        <f>POWER(G30,H28)/(POWER(G30,H28)+(POWER(E30,H28)))</f>
        <v>0.466235362740265</v>
      </c>
      <c r="I31" s="20">
        <f>POWER(I30,L28)/(POWER(I30,L28)+(POWER(K30,L28)))</f>
        <v>0.41001133360929765</v>
      </c>
      <c r="J31" s="17" t="s">
        <v>82</v>
      </c>
      <c r="K31" s="20">
        <f>POWER(K30,L28)/(POWER(K30,L28)+(POWER(I30,L28)))</f>
        <v>0.58998866639070235</v>
      </c>
      <c r="Q31" s="18"/>
    </row>
    <row r="32" spans="1:17">
      <c r="A32" s="19">
        <f>IF(A31&lt;0.5,100/(A31/1)-100,((A31*100)/(1-(A31/1)))*-1)</f>
        <v>133.50260462542175</v>
      </c>
      <c r="B32" s="17" t="s">
        <v>84</v>
      </c>
      <c r="C32" s="19">
        <f>IF(C31&lt;0.5,100/(C31/1)-100,((C31*100)/(1-(C31/1)))*-1)</f>
        <v>-133.50260462542184</v>
      </c>
      <c r="E32" s="19">
        <f>IF(E31&lt;0.5,100/(E31/1)-100,((E31*100)/(1-(E31/1)))*-1)</f>
        <v>-114.48394521654718</v>
      </c>
      <c r="F32" s="17" t="s">
        <v>84</v>
      </c>
      <c r="G32" s="19">
        <f>IF(G31&lt;0.5,100/(G31/1)-100,((G31*100)/(1-(G31/1)))*-1)</f>
        <v>114.48394521654717</v>
      </c>
      <c r="I32" s="19">
        <f>IF(I31&lt;0.5,100/(I31/1)-100,((I31*100)/(1-(I31/1)))*-1)</f>
        <v>143.89569702795245</v>
      </c>
      <c r="J32" s="17" t="s">
        <v>84</v>
      </c>
      <c r="K32" s="19">
        <f>IF(K31&lt;0.5,100/(K31/1)-100,((K31*100)/(1-(K31/1)))*-1)</f>
        <v>-143.89569702795245</v>
      </c>
      <c r="Q32" s="18"/>
    </row>
    <row r="33" spans="1:17">
      <c r="A33" s="21" t="s">
        <v>106</v>
      </c>
      <c r="B33" s="17" t="s">
        <v>62</v>
      </c>
      <c r="C33" s="21" t="s">
        <v>107</v>
      </c>
      <c r="D33" s="17" t="s">
        <v>64</v>
      </c>
      <c r="E33" s="21" t="s">
        <v>102</v>
      </c>
      <c r="F33" s="17" t="s">
        <v>62</v>
      </c>
      <c r="G33" s="21" t="s">
        <v>103</v>
      </c>
      <c r="H33" s="17" t="s">
        <v>64</v>
      </c>
      <c r="I33" s="21" t="s">
        <v>104</v>
      </c>
      <c r="J33" s="17" t="s">
        <v>62</v>
      </c>
      <c r="K33" s="21" t="s">
        <v>105</v>
      </c>
      <c r="L33" s="17" t="s">
        <v>64</v>
      </c>
      <c r="Q33" s="18"/>
    </row>
    <row r="34" spans="1:17">
      <c r="A34" s="15">
        <f>IF(A33="Diamondbacks",('Offensive Values'!$P$2+'Offensive Values'!$Q$2)/2,IF(A33="Braves",('Offensive Values'!$P$3+'Offensive Values'!$Q$3)/2,IF(A33="Orioles",('Offensive Values'!$P$4+'Offensive Values'!$Q$4)/2,IF(A33="Red Sox",('Offensive Values'!$P$5+'Offensive Values'!$Q$5)/2,IF(A33="Cubs",('Offensive Values'!$P$6+'Offensive Values'!$Q$6)/2,IF(A33="White Sox",('Offensive Values'!$P$7+'Offensive Values'!$Q$7)/2,IF(A33="Reds",('Offensive Values'!$P$8+'Offensive Values'!$Q$8)/2,IF(A33="Indians",('Offensive Values'!$P$9+'Offensive Values'!$Q$9)/2,IF(A33="Rockies",('Offensive Values'!$P$10+'Offensive Values'!$Q$10)/2,IF(A33="Tigers",('Offensive Values'!$P$11+'Offensive Values'!$Q$11)/2,IF(A33="Astros",('Offensive Values'!$P$12+'Offensive Values'!$Q$12)/2,IF(A33="Royals",('Offensive Values'!$P$13+'Offensive Values'!$Q$13)/2,IF(A33="Angels",('Offensive Values'!$P$14+'Offensive Values'!$Q$14)/2,IF(A33="Dodgers",('Offensive Values'!$P$15+'Offensive Values'!$Q$15)/2,IF(A33="Marlins",('Offensive Values'!$P$16+'Offensive Values'!$Q$16)/2,IF(A33="Brewers",('Offensive Values'!$P$17+'Offensive Values'!$Q$17)/2,IF(A33="Twins",('Offensive Values'!$P$18+'Offensive Values'!$Q$18)/2,IF(A33="Mets",('Offensive Values'!$P$19+'Offensive Values'!$Q$19)/2,IF(A33="Yankees",('Offensive Values'!$P$20+'Offensive Values'!$Q$20)/2,IF(A33="Athletics",('Offensive Values'!$P$21+'Offensive Values'!$Q$21)/2,IF(A33="Phillies",('Offensive Values'!$P$22+'Offensive Values'!$Q$22)/2,IF(A33="Pirates",('Offensive Values'!$P$23+'Offensive Values'!$Q$23)/2,IF(A33="Padres",('Offensive Values'!$P$24+'Offensive Values'!$Q$24)/2,IF(A33="Giants",('Offensive Values'!$P$25+'Offensive Values'!$Q$25)/2,IF(A33="Mariners",('Offensive Values'!$P$26+'Offensive Values'!$Q$26)/2,IF(A33="Cardinals",('Offensive Values'!$P$27+'Offensive Values'!$Q$27)/2,IF(A33="Rays",('Offensive Values'!$P$28+'Offensive Values'!$Q$28)/2,IF(A33="Rangers",('Offensive Values'!$P$29+'Offensive Values'!$Q$29)/2,IF(A33="Blue Jays",('Offensive Values'!$P$30+'Offensive Values'!$Q$30)/2,IF(A33="Nationals",('Offensive Values'!$P$31+'Offensive Values'!$Q$31)/2))))))))))))))))))))))))))))))</f>
        <v>0.97760137526544644</v>
      </c>
      <c r="B34" s="17" t="s">
        <v>71</v>
      </c>
      <c r="C34" s="15">
        <f>IF(C33="Diamondbacks",('Offensive Values'!$P$2+'Offensive Values'!$Q$2)/2,IF(C33="Braves",('Offensive Values'!$P$3+'Offensive Values'!$Q$3)/2,IF(C33="Orioles",('Offensive Values'!$P$4+'Offensive Values'!$Q$4)/2,IF(C33="Red Sox",('Offensive Values'!$P$5+'Offensive Values'!$Q$5)/2,IF(C33="Cubs",('Offensive Values'!$P$6+'Offensive Values'!$Q$6)/2,IF(C33="White Sox",('Offensive Values'!$P$7+'Offensive Values'!$Q$7)/2,IF(C33="Reds",('Offensive Values'!$P$8+'Offensive Values'!$Q$8)/2,IF(C33="Indians",('Offensive Values'!$P$9+'Offensive Values'!$Q$9)/2,IF(C33="Rockies",('Offensive Values'!$P$10+'Offensive Values'!$Q$10)/2,IF(C33="Tigers",('Offensive Values'!$P$11+'Offensive Values'!$Q$11)/2,IF(C33="Astros",('Offensive Values'!$P$12+'Offensive Values'!$Q$12)/2,IF(C33="Royals",('Offensive Values'!$P$13+'Offensive Values'!$Q$13)/2,IF(C33="Angels",('Offensive Values'!$P$14+'Offensive Values'!$Q$14)/2,IF(C33="Dodgers",('Offensive Values'!$P$15+'Offensive Values'!$Q$15)/2,IF(C33="Marlins",('Offensive Values'!$P$16+'Offensive Values'!$Q$16)/2,IF(C33="Brewers",('Offensive Values'!$P$17+'Offensive Values'!$Q$17)/2,IF(C33="Twins",('Offensive Values'!$P$18+'Offensive Values'!$Q$18)/2,IF(C33="Mets",('Offensive Values'!$P$19+'Offensive Values'!$Q$19)/2,IF(C33="Yankees",('Offensive Values'!$P$20+'Offensive Values'!$Q$20)/2,IF(C33="Athletics",('Offensive Values'!$P$21+'Offensive Values'!$Q$21)/2,IF(C33="Phillies",('Offensive Values'!$P$22+'Offensive Values'!$Q$22)/2,IF(C33="Pirates",('Offensive Values'!$P$23+'Offensive Values'!$Q$23)/2,IF(C33="Padres",('Offensive Values'!$P$24+'Offensive Values'!$Q$24)/2,IF(C33="Giants",('Offensive Values'!$P$25+'Offensive Values'!$Q$25)/2,IF(C33="Mariners",('Offensive Values'!$P$26+'Offensive Values'!$Q$26)/2,IF(C33="Cardinals",('Offensive Values'!$P$27+'Offensive Values'!$Q$27)/2,IF(C33="Rays",('Offensive Values'!$P$28+'Offensive Values'!$Q$28)/2,IF(C33="Rangers",('Offensive Values'!$P$29+'Offensive Values'!$Q$29)/2,IF(C33="Blue Jays",('Offensive Values'!$P$30+'Offensive Values'!$Q$30)/2,IF(C33="Nationals",('Offensive Values'!$P$31+'Offensive Values'!$Q$31)/2))))))))))))))))))))))))))))))</f>
        <v>0.99520679542926482</v>
      </c>
      <c r="D34" s="16">
        <v>7</v>
      </c>
      <c r="E34" s="15">
        <f>IF(E33="Diamondbacks",('Offensive Values'!$P$2+'Offensive Values'!$Q$2)/2,IF(E33="Braves",('Offensive Values'!$P$3+'Offensive Values'!$Q$3)/2,IF(E33="Orioles",('Offensive Values'!$P$4+'Offensive Values'!$Q$4)/2,IF(E33="Red Sox",('Offensive Values'!$P$5+'Offensive Values'!$Q$5)/2,IF(E33="Cubs",('Offensive Values'!$P$6+'Offensive Values'!$Q$6)/2,IF(E33="White Sox",('Offensive Values'!$P$7+'Offensive Values'!$Q$7)/2,IF(E33="Reds",('Offensive Values'!$P$8+'Offensive Values'!$Q$8)/2,IF(E33="Indians",('Offensive Values'!$P$9+'Offensive Values'!$Q$9)/2,IF(E33="Rockies",('Offensive Values'!$P$10+'Offensive Values'!$Q$10)/2,IF(E33="Tigers",('Offensive Values'!$P$11+'Offensive Values'!$Q$11)/2,IF(E33="Astros",('Offensive Values'!$P$12+'Offensive Values'!$Q$12)/2,IF(E33="Royals",('Offensive Values'!$P$13+'Offensive Values'!$Q$13)/2,IF(E33="Angels",('Offensive Values'!$P$14+'Offensive Values'!$Q$14)/2,IF(E33="Dodgers",('Offensive Values'!$P$15+'Offensive Values'!$Q$15)/2,IF(E33="Marlins",('Offensive Values'!$P$16+'Offensive Values'!$Q$16)/2,IF(E33="Brewers",('Offensive Values'!$P$17+'Offensive Values'!$Q$17)/2,IF(E33="Twins",('Offensive Values'!$P$18+'Offensive Values'!$Q$18)/2,IF(E33="Mets",('Offensive Values'!$P$19+'Offensive Values'!$Q$19)/2,IF(E33="Yankees",('Offensive Values'!$P$20+'Offensive Values'!$Q$20)/2,IF(E33="Athletics",('Offensive Values'!$P$21+'Offensive Values'!$Q$21)/2,IF(E33="Phillies",('Offensive Values'!$P$22+'Offensive Values'!$Q$22)/2,IF(E33="Pirates",('Offensive Values'!$P$23+'Offensive Values'!$Q$23)/2,IF(E33="Padres",('Offensive Values'!$P$24+'Offensive Values'!$Q$24)/2,IF(E33="Giants",('Offensive Values'!$P$25+'Offensive Values'!$Q$25)/2,IF(E33="Mariners",('Offensive Values'!$P$26+'Offensive Values'!$Q$26)/2,IF(E33="Cardinals",('Offensive Values'!$P$27+'Offensive Values'!$Q$27)/2,IF(E33="Rays",('Offensive Values'!$P$28+'Offensive Values'!$Q$28)/2,IF(E33="Rangers",('Offensive Values'!$P$29+'Offensive Values'!$Q$29)/2,IF(E33="Blue Jays",('Offensive Values'!$P$30+'Offensive Values'!$Q$30)/2,IF(E33="Nationals",('Offensive Values'!$P$31+'Offensive Values'!$Q$31)/2))))))))))))))))))))))))))))))</f>
        <v>1.0221710992011326</v>
      </c>
      <c r="F34" s="17" t="s">
        <v>71</v>
      </c>
      <c r="G34" s="15">
        <f>IF(G33="Diamondbacks",('Offensive Values'!$P$2+'Offensive Values'!$Q$2)/2,IF(G33="Braves",('Offensive Values'!$P$3+'Offensive Values'!$Q$3)/2,IF(G33="Orioles",('Offensive Values'!$P$4+'Offensive Values'!$Q$4)/2,IF(G33="Red Sox",('Offensive Values'!$P$5+'Offensive Values'!$Q$5)/2,IF(G33="Cubs",('Offensive Values'!$P$6+'Offensive Values'!$Q$6)/2,IF(G33="White Sox",('Offensive Values'!$P$7+'Offensive Values'!$Q$7)/2,IF(G33="Reds",('Offensive Values'!$P$8+'Offensive Values'!$Q$8)/2,IF(G33="Indians",('Offensive Values'!$P$9+'Offensive Values'!$Q$9)/2,IF(G33="Rockies",('Offensive Values'!$P$10+'Offensive Values'!$Q$10)/2,IF(G33="Tigers",('Offensive Values'!$P$11+'Offensive Values'!$Q$11)/2,IF(G33="Astros",('Offensive Values'!$P$12+'Offensive Values'!$Q$12)/2,IF(G33="Royals",('Offensive Values'!$P$13+'Offensive Values'!$Q$13)/2,IF(G33="Angels",('Offensive Values'!$P$14+'Offensive Values'!$Q$14)/2,IF(G33="Dodgers",('Offensive Values'!$P$15+'Offensive Values'!$Q$15)/2,IF(G33="Marlins",('Offensive Values'!$P$16+'Offensive Values'!$Q$16)/2,IF(G33="Brewers",('Offensive Values'!$P$17+'Offensive Values'!$Q$17)/2,IF(G33="Twins",('Offensive Values'!$P$18+'Offensive Values'!$Q$18)/2,IF(G33="Mets",('Offensive Values'!$P$19+'Offensive Values'!$Q$19)/2,IF(G33="Yankees",('Offensive Values'!$P$20+'Offensive Values'!$Q$20)/2,IF(G33="Athletics",('Offensive Values'!$P$21+'Offensive Values'!$Q$21)/2,IF(G33="Phillies",('Offensive Values'!$P$22+'Offensive Values'!$Q$22)/2,IF(G33="Pirates",('Offensive Values'!$P$23+'Offensive Values'!$Q$23)/2,IF(G33="Padres",('Offensive Values'!$P$24+'Offensive Values'!$Q$24)/2,IF(G33="Giants",('Offensive Values'!$P$25+'Offensive Values'!$Q$25)/2,IF(G33="Mariners",('Offensive Values'!$P$26+'Offensive Values'!$Q$26)/2,IF(G33="Cardinals",('Offensive Values'!$P$27+'Offensive Values'!$Q$27)/2,IF(G33="Rays",('Offensive Values'!$P$28+'Offensive Values'!$Q$28)/2,IF(G33="Rangers",('Offensive Values'!$P$29+'Offensive Values'!$Q$29)/2,IF(G33="Blue Jays",('Offensive Values'!$P$30+'Offensive Values'!$Q$30)/2,IF(G33="Nationals",('Offensive Values'!$P$31+'Offensive Values'!$Q$31)/2))))))))))))))))))))))))))))))</f>
        <v>0.9619273940742239</v>
      </c>
      <c r="H34" s="16"/>
      <c r="I34" s="15">
        <f>IF(I33="Diamondbacks",('Offensive Values'!$P$2+'Offensive Values'!$Q$2)/2,IF(I33="Braves",('Offensive Values'!$P$3+'Offensive Values'!$Q$3)/2,IF(I33="Orioles",('Offensive Values'!$P$4+'Offensive Values'!$Q$4)/2,IF(I33="Red Sox",('Offensive Values'!$P$5+'Offensive Values'!$Q$5)/2,IF(I33="Cubs",('Offensive Values'!$P$6+'Offensive Values'!$Q$6)/2,IF(I33="White Sox",('Offensive Values'!$P$7+'Offensive Values'!$Q$7)/2,IF(I33="Reds",('Offensive Values'!$P$8+'Offensive Values'!$Q$8)/2,IF(I33="Indians",('Offensive Values'!$P$9+'Offensive Values'!$Q$9)/2,IF(I33="Rockies",('Offensive Values'!$P$10+'Offensive Values'!$Q$10)/2,IF(I33="Tigers",('Offensive Values'!$P$11+'Offensive Values'!$Q$11)/2,IF(I33="Astros",('Offensive Values'!$P$12+'Offensive Values'!$Q$12)/2,IF(I33="Royals",('Offensive Values'!$P$13+'Offensive Values'!$Q$13)/2,IF(I33="Angels",('Offensive Values'!$P$14+'Offensive Values'!$Q$14)/2,IF(I33="Dodgers",('Offensive Values'!$P$15+'Offensive Values'!$Q$15)/2,IF(I33="Marlins",('Offensive Values'!$P$16+'Offensive Values'!$Q$16)/2,IF(I33="Brewers",('Offensive Values'!$P$17+'Offensive Values'!$Q$17)/2,IF(I33="Twins",('Offensive Values'!$P$18+'Offensive Values'!$Q$18)/2,IF(I33="Mets",('Offensive Values'!$P$19+'Offensive Values'!$Q$19)/2,IF(I33="Yankees",('Offensive Values'!$P$20+'Offensive Values'!$Q$20)/2,IF(I33="Athletics",('Offensive Values'!$P$21+'Offensive Values'!$Q$21)/2,IF(I33="Phillies",('Offensive Values'!$P$22+'Offensive Values'!$Q$22)/2,IF(I33="Pirates",('Offensive Values'!$P$23+'Offensive Values'!$Q$23)/2,IF(I33="Padres",('Offensive Values'!$P$24+'Offensive Values'!$Q$24)/2,IF(I33="Giants",('Offensive Values'!$P$25+'Offensive Values'!$Q$25)/2,IF(I33="Mariners",('Offensive Values'!$P$26+'Offensive Values'!$Q$26)/2,IF(I33="Cardinals",('Offensive Values'!$P$27+'Offensive Values'!$Q$27)/2,IF(I33="Rays",('Offensive Values'!$P$28+'Offensive Values'!$Q$28)/2,IF(I33="Rangers",('Offensive Values'!$P$29+'Offensive Values'!$Q$29)/2,IF(I33="Blue Jays",('Offensive Values'!$P$30+'Offensive Values'!$Q$30)/2,IF(I33="Nationals",('Offensive Values'!$P$31+'Offensive Values'!$Q$31)/2))))))))))))))))))))))))))))))</f>
        <v>0.93773384568712714</v>
      </c>
      <c r="J34" s="17" t="s">
        <v>71</v>
      </c>
      <c r="K34" s="15">
        <f>IF(K33="Diamondbacks",('Offensive Values'!$P$2+'Offensive Values'!$Q$2)/2,IF(K33="Braves",('Offensive Values'!$P$3+'Offensive Values'!$Q$3)/2,IF(K33="Orioles",('Offensive Values'!$P$4+'Offensive Values'!$Q$4)/2,IF(K33="Red Sox",('Offensive Values'!$P$5+'Offensive Values'!$Q$5)/2,IF(K33="Cubs",('Offensive Values'!$P$6+'Offensive Values'!$Q$6)/2,IF(K33="White Sox",('Offensive Values'!$P$7+'Offensive Values'!$Q$7)/2,IF(K33="Reds",('Offensive Values'!$P$8+'Offensive Values'!$Q$8)/2,IF(K33="Indians",('Offensive Values'!$P$9+'Offensive Values'!$Q$9)/2,IF(K33="Rockies",('Offensive Values'!$P$10+'Offensive Values'!$Q$10)/2,IF(K33="Tigers",('Offensive Values'!$P$11+'Offensive Values'!$Q$11)/2,IF(K33="Astros",('Offensive Values'!$P$12+'Offensive Values'!$Q$12)/2,IF(K33="Royals",('Offensive Values'!$P$13+'Offensive Values'!$Q$13)/2,IF(K33="Angels",('Offensive Values'!$P$14+'Offensive Values'!$Q$14)/2,IF(K33="Dodgers",('Offensive Values'!$P$15+'Offensive Values'!$Q$15)/2,IF(K33="Marlins",('Offensive Values'!$P$16+'Offensive Values'!$Q$16)/2,IF(K33="Brewers",('Offensive Values'!$P$17+'Offensive Values'!$Q$17)/2,IF(K33="Twins",('Offensive Values'!$P$18+'Offensive Values'!$Q$18)/2,IF(K33="Mets",('Offensive Values'!$P$19+'Offensive Values'!$Q$19)/2,IF(K33="Yankees",('Offensive Values'!$P$20+'Offensive Values'!$Q$20)/2,IF(K33="Athletics",('Offensive Values'!$P$21+'Offensive Values'!$Q$21)/2,IF(K33="Phillies",('Offensive Values'!$P$22+'Offensive Values'!$Q$22)/2,IF(K33="Pirates",('Offensive Values'!$P$23+'Offensive Values'!$Q$23)/2,IF(K33="Padres",('Offensive Values'!$P$24+'Offensive Values'!$Q$24)/2,IF(K33="Giants",('Offensive Values'!$P$25+'Offensive Values'!$Q$25)/2,IF(K33="Mariners",('Offensive Values'!$P$26+'Offensive Values'!$Q$26)/2,IF(K33="Cardinals",('Offensive Values'!$P$27+'Offensive Values'!$Q$27)/2,IF(K33="Rays",('Offensive Values'!$P$28+'Offensive Values'!$Q$28)/2,IF(K33="Rangers",('Offensive Values'!$P$29+'Offensive Values'!$Q$29)/2,IF(K33="Blue Jays",('Offensive Values'!$P$30+'Offensive Values'!$Q$30)/2,IF(K33="Nationals",('Offensive Values'!$P$31+'Offensive Values'!$Q$31)/2))))))))))))))))))))))))))))))</f>
        <v>0.99064111639195063</v>
      </c>
      <c r="L34" s="16"/>
      <c r="Q34" s="18"/>
    </row>
    <row r="35" spans="1:17">
      <c r="A35" s="19">
        <f>AVERAGE(4.5)*(6/9)</f>
        <v>3</v>
      </c>
      <c r="B35" s="17" t="s">
        <v>73</v>
      </c>
      <c r="C35" s="19">
        <f>AVERAGE('Starting Pitchers'!B14:E14)*(6/9)</f>
        <v>3.08</v>
      </c>
      <c r="D35" s="17" t="s">
        <v>45</v>
      </c>
      <c r="E35" s="19">
        <f>AVERAGE('Starting Pitchers'!$B$3:$E$3)*(6/9)</f>
        <v>2.3266666666666667</v>
      </c>
      <c r="F35" s="17" t="s">
        <v>73</v>
      </c>
      <c r="G35" s="19">
        <f>AVERAGE('Starting Pitchers'!$B$3:$E$3)*(6/9)</f>
        <v>2.3266666666666667</v>
      </c>
      <c r="H35" s="17" t="s">
        <v>45</v>
      </c>
      <c r="I35" s="19">
        <f>AVERAGE(4.5)*(6/9)</f>
        <v>3</v>
      </c>
      <c r="J35" s="17" t="s">
        <v>73</v>
      </c>
      <c r="K35" s="19">
        <f>AVERAGE('Starting Pitchers'!B127:E127)*(6/9)</f>
        <v>2.3433333333333328</v>
      </c>
      <c r="L35" s="17" t="s">
        <v>45</v>
      </c>
      <c r="Q35" s="18"/>
    </row>
    <row r="36" spans="1:17">
      <c r="A36" s="19">
        <f>IF(A33="Diamondbacks", AVERAGE('Bullpen Values'!$K$5:$N$5)*(3/9), IF(A33="Braves",AVERAGE('Bullpen Values'!$K$6:$N$6)*(3/9),IF(A33="Orioles",AVERAGE('Bullpen Values'!$K$7:$N$7)*(3/9),IF(A33="Red Sox",AVERAGE('Bullpen Values'!$K$8:$N$8)*(3/9),IF(A33="Cubs",AVERAGE('Bullpen Values'!$K$9:$N$9)*(3/9),IF(A33="White Sox",AVERAGE('Bullpen Values'!$K$10:$N$10)*(3/9),IF(A33="Reds",AVERAGE('Bullpen Values'!$K$11:$N$11)*(3/9),IF(A33="Indians",AVERAGE('Bullpen Values'!$K$12:$N$12)*(3/9),IF(A33="Rockies",AVERAGE('Bullpen Values'!$K$13:$N$13)*(3/9),IF(A33="Tigers",AVERAGE('Bullpen Values'!$K$14:$N$14)*(3/9),IF(A33="Astros",AVERAGE('Bullpen Values'!$K$15:$N$15)*(3/9),IF(A33="Royals",AVERAGE('Bullpen Values'!$K$16:$N$16)*(3/9),IF(A33="Angels",AVERAGE('Bullpen Values'!$K$17:$N$17)*(3/9),IF(A33="Dodgers",AVERAGE('Bullpen Values'!$K$18:$N$18)*(3/9),IF(A33="Marlins",AVERAGE('Bullpen Values'!$K$19:$N$19)*(3/9),IF(A33="Brewers",AVERAGE('Bullpen Values'!$K$20:$N$20)*(3/9),IF(A33="Twins",AVERAGE('Bullpen Values'!$K$21:$N$21)*(3/9),IF(A33="Mets",AVERAGE('Bullpen Values'!$K$22:$N$22)*(3/9),IF(A33="Yankees",AVERAGE('Bullpen Values'!$K$23:$N$23)*(3/9),IF(A33="Athletics",AVERAGE('Bullpen Values'!$K$24:$N$24)*(3/9),IF(A33="Phillies",AVERAGE('Bullpen Values'!$K$25:$N$25)*(3/9),IF(A33="Pirates",AVERAGE('Bullpen Values'!$K$26:$N$26)*(3/9),IF(A33="Padres",AVERAGE('Bullpen Values'!$K$27:$N$27)*(3/9),IF(A33="Giants",AVERAGE('Bullpen Values'!$K$28:$N$28)*(3/9),IF(A33="Mariners",AVERAGE('Bullpen Values'!$K$29:$N$29)*(3/9),IF(A33="Cardinals",AVERAGE('Bullpen Values'!$K$30:$N$30)*(3/9),IF(A33="Rays",AVERAGE('Bullpen Values'!$K$31:$N$31)*(3/9),IF(A33="Rangers",AVERAGE('Bullpen Values'!$K$32:$N$32)*(3/9),IF(A33="Blue Jays",AVERAGE('Bullpen Values'!$K$33:$N$33)*(3/9),IF(A33="Nationals",AVERAGE('Bullpen Values'!$K$34:$N$34)*(3/9)))))))))))))))))))))))))))))))</f>
        <v>1.1388888888888888</v>
      </c>
      <c r="B36" s="17" t="s">
        <v>76</v>
      </c>
      <c r="C36" s="19">
        <f>IF(C33="Diamondbacks", AVERAGE('Bullpen Values'!$K$5:$N$5)*(3/9), IF(C33="Braves",AVERAGE('Bullpen Values'!$K$6:$N$6)*(3/9),IF(C33="Orioles",AVERAGE('Bullpen Values'!$K$7:$N$7)*(3/9),IF(C33="Red Sox",AVERAGE('Bullpen Values'!$K$8:$N$8)*(3/9),IF(C33="Cubs",AVERAGE('Bullpen Values'!$K$9:$N$9)*(3/9),IF(C33="White Sox",AVERAGE('Bullpen Values'!$K$10:$N$10)*(3/9),IF(C33="Reds",AVERAGE('Bullpen Values'!$K$11:$N$11)*(3/9),IF(C33="Indians",AVERAGE('Bullpen Values'!$K$12:$N$12)*(3/9),IF(C33="Rockies",AVERAGE('Bullpen Values'!$K$13:$N$13)*(3/9),IF(C33="Tigers",AVERAGE('Bullpen Values'!$K$14:$N$14)*(3/9),IF(C33="Astros",AVERAGE('Bullpen Values'!$K$15:$N$15)*(3/9),IF(C33="Royals",AVERAGE('Bullpen Values'!$K$16:$N$16)*(3/9),IF(C33="Angels",AVERAGE('Bullpen Values'!$K$17:$N$17)*(3/9),IF(C33="Dodgers",AVERAGE('Bullpen Values'!$K$18:$N$18)*(3/9),IF(C33="Marlins",AVERAGE('Bullpen Values'!$K$19:$N$19)*(3/9),IF(C33="Brewers",AVERAGE('Bullpen Values'!$K$20:$N$20)*(3/9),IF(C33="Twins",AVERAGE('Bullpen Values'!$K$21:$N$21)*(3/9),IF(C33="Mets",AVERAGE('Bullpen Values'!$K$22:$N$22)*(3/9),IF(C33="Yankees",AVERAGE('Bullpen Values'!$K$23:$N$23)*(3/9),IF(C33="Athletics",AVERAGE('Bullpen Values'!$K$24:$N$24)*(3/9),IF(C33="Phillies",AVERAGE('Bullpen Values'!$K$25:$N$25)*(3/9),IF(C33="Pirates",AVERAGE('Bullpen Values'!$K$26:$N$26)*(3/9),IF(C33="Padres",AVERAGE('Bullpen Values'!$K$27:$N$27)*(3/9),IF(C33="Giants",AVERAGE('Bullpen Values'!$K$28:$N$28)*(3/9),IF(C33="Mariners",AVERAGE('Bullpen Values'!$K$29:$N$29)*(3/9),IF(C33="Cardinals",AVERAGE('Bullpen Values'!$K$30:$N$30)*(3/9),IF(C33="Rays",AVERAGE('Bullpen Values'!$K$31:$N$31)*(3/9),IF(C33="Rangers",AVERAGE('Bullpen Values'!$K$32:$N$32)*(3/9),IF(C33="Blue Jays",AVERAGE('Bullpen Values'!$K$33:$N$33)*(3/9),IF(C33="Nationals",AVERAGE('Bullpen Values'!$K$34:$N$34)*(3/9)))))))))))))))))))))))))))))))</f>
        <v>1.0788888888888888</v>
      </c>
      <c r="D36" s="16">
        <f>IF(D34=6.5,1.67,IF(D34=7,1.72,IF(D34=7.5,1.76,IF(D34=8,1.8,IF(D34=8.5,1.84,IF(D34=9,1.88,IF(D34=9.5,1.92,IF(D34=10,1.95,IF(D34=10.5,1.98,IF(D34=11,2.01,IF(D34=11.5,2.04,IF(D34=12,2.07,IF(D34=12.5,2.1,IF(D34=13,2.12))))))))))))))</f>
        <v>1.72</v>
      </c>
      <c r="E36" s="19">
        <f>IF(E33="Diamondbacks", AVERAGE('Bullpen Values'!$K$5:$N$5)*(3/9), IF(E33="Braves",AVERAGE('Bullpen Values'!$K$6:$N$6)*(3/9),IF(E33="Orioles",AVERAGE('Bullpen Values'!$K$7:$N$7)*(3/9),IF(E33="Red Sox",AVERAGE('Bullpen Values'!$K$8:$N$8)*(3/9),IF(E33="Cubs",AVERAGE('Bullpen Values'!$K$9:$N$9)*(3/9),IF(E33="White Sox",AVERAGE('Bullpen Values'!$K$10:$N$10)*(3/9),IF(E33="Reds",AVERAGE('Bullpen Values'!$K$11:$N$11)*(3/9),IF(E33="Indians",AVERAGE('Bullpen Values'!$K$12:$N$12)*(3/9),IF(E33="Rockies",AVERAGE('Bullpen Values'!$K$13:$N$13)*(3/9),IF(E33="Tigers",AVERAGE('Bullpen Values'!$K$14:$N$14)*(3/9),IF(E33="Astros",AVERAGE('Bullpen Values'!$K$15:$N$15)*(3/9),IF(E33="Royals",AVERAGE('Bullpen Values'!$K$16:$N$16)*(3/9),IF(E33="Angels",AVERAGE('Bullpen Values'!$K$17:$N$17)*(3/9),IF(E33="Dodgers",AVERAGE('Bullpen Values'!$K$18:$N$18)*(3/9),IF(E33="Marlins",AVERAGE('Bullpen Values'!$K$19:$N$19)*(3/9),IF(E33="Brewers",AVERAGE('Bullpen Values'!$K$20:$N$20)*(3/9),IF(E33="Twins",AVERAGE('Bullpen Values'!$K$21:$N$21)*(3/9),IF(E33="Mets",AVERAGE('Bullpen Values'!$K$22:$N$22)*(3/9),IF(E33="Yankees",AVERAGE('Bullpen Values'!$K$23:$N$23)*(3/9),IF(E33="Athletics",AVERAGE('Bullpen Values'!$K$24:$N$24)*(3/9),IF(E33="Phillies",AVERAGE('Bullpen Values'!$K$25:$N$25)*(3/9),IF(E33="Pirates",AVERAGE('Bullpen Values'!$K$26:$N$26)*(3/9),IF(E33="Padres",AVERAGE('Bullpen Values'!$K$27:$N$27)*(3/9),IF(E33="Giants",AVERAGE('Bullpen Values'!$K$28:$N$28)*(3/9),IF(E33="Mariners",AVERAGE('Bullpen Values'!$K$29:$N$29)*(3/9),IF(E33="Cardinals",AVERAGE('Bullpen Values'!$K$30:$N$30)*(3/9),IF(E33="Rays",AVERAGE('Bullpen Values'!$K$31:$N$31)*(3/9),IF(E33="Rangers",AVERAGE('Bullpen Values'!$K$32:$N$32)*(3/9),IF(E33="Blue Jays",AVERAGE('Bullpen Values'!$K$33:$N$33)*(3/9),IF(E33="Nationals",AVERAGE('Bullpen Values'!$K$34:$N$34)*(3/9)))))))))))))))))))))))))))))))</f>
        <v>1.3233333333333333</v>
      </c>
      <c r="F36" s="17" t="s">
        <v>76</v>
      </c>
      <c r="G36" s="19">
        <f>IF(G33="Diamondbacks", AVERAGE('Bullpen Values'!$K$5:$N$5)*(3/9), IF(G33="Braves",AVERAGE('Bullpen Values'!$K$6:$N$6)*(3/9),IF(G33="Orioles",AVERAGE('Bullpen Values'!$K$7:$N$7)*(3/9),IF(G33="Red Sox",AVERAGE('Bullpen Values'!$K$8:$N$8)*(3/9),IF(G33="Cubs",AVERAGE('Bullpen Values'!$K$9:$N$9)*(3/9),IF(G33="White Sox",AVERAGE('Bullpen Values'!$K$10:$N$10)*(3/9),IF(G33="Reds",AVERAGE('Bullpen Values'!$K$11:$N$11)*(3/9),IF(G33="Indians",AVERAGE('Bullpen Values'!$K$12:$N$12)*(3/9),IF(G33="Rockies",AVERAGE('Bullpen Values'!$K$13:$N$13)*(3/9),IF(G33="Tigers",AVERAGE('Bullpen Values'!$K$14:$N$14)*(3/9),IF(G33="Astros",AVERAGE('Bullpen Values'!$K$15:$N$15)*(3/9),IF(G33="Royals",AVERAGE('Bullpen Values'!$K$16:$N$16)*(3/9),IF(G33="Angels",AVERAGE('Bullpen Values'!$K$17:$N$17)*(3/9),IF(G33="Dodgers",AVERAGE('Bullpen Values'!$K$18:$N$18)*(3/9),IF(G33="Marlins",AVERAGE('Bullpen Values'!$K$19:$N$19)*(3/9),IF(G33="Brewers",AVERAGE('Bullpen Values'!$K$20:$N$20)*(3/9),IF(G33="Twins",AVERAGE('Bullpen Values'!$K$21:$N$21)*(3/9),IF(G33="Mets",AVERAGE('Bullpen Values'!$K$22:$N$22)*(3/9),IF(G33="Yankees",AVERAGE('Bullpen Values'!$K$23:$N$23)*(3/9),IF(G33="Athletics",AVERAGE('Bullpen Values'!$K$24:$N$24)*(3/9),IF(G33="Phillies",AVERAGE('Bullpen Values'!$K$25:$N$25)*(3/9),IF(G33="Pirates",AVERAGE('Bullpen Values'!$K$26:$N$26)*(3/9),IF(G33="Padres",AVERAGE('Bullpen Values'!$K$27:$N$27)*(3/9),IF(G33="Giants",AVERAGE('Bullpen Values'!$K$28:$N$28)*(3/9),IF(G33="Mariners",AVERAGE('Bullpen Values'!$K$29:$N$29)*(3/9),IF(G33="Cardinals",AVERAGE('Bullpen Values'!$K$30:$N$30)*(3/9),IF(G33="Rays",AVERAGE('Bullpen Values'!$K$31:$N$31)*(3/9),IF(G33="Rangers",AVERAGE('Bullpen Values'!$K$32:$N$32)*(3/9),IF(G33="Blue Jays",AVERAGE('Bullpen Values'!$K$33:$N$33)*(3/9),IF(G33="Nationals",AVERAGE('Bullpen Values'!$K$34:$N$34)*(3/9)))))))))))))))))))))))))))))))</f>
        <v>1.6444444444444442</v>
      </c>
      <c r="H36" s="16" t="b">
        <f>IF(H34=6.5,1.67,IF(H34=7,1.72,IF(H34=7.5,1.76,IF(H34=8,1.8,IF(H34=8.5,1.84,IF(H34=9,1.88,IF(H34=9.5,1.92,IF(H34=10,1.95,IF(H34=10.5,1.98,IF(H34=11,2.01,IF(H34=11.5,2.04,IF(H34=12,2.07,IF(H34=12.5,2.1,IF(H34=13,2.12))))))))))))))</f>
        <v>0</v>
      </c>
      <c r="I36" s="19">
        <f>IF(I33="Diamondbacks", AVERAGE('Bullpen Values'!$K$5:$N$5)*(3/9), IF(I33="Braves",AVERAGE('Bullpen Values'!$K$6:$N$6)*(3/9),IF(I33="Orioles",AVERAGE('Bullpen Values'!$K$7:$N$7)*(3/9),IF(I33="Red Sox",AVERAGE('Bullpen Values'!$K$8:$N$8)*(3/9),IF(I33="Cubs",AVERAGE('Bullpen Values'!$K$9:$N$9)*(3/9),IF(I33="White Sox",AVERAGE('Bullpen Values'!$K$10:$N$10)*(3/9),IF(I33="Reds",AVERAGE('Bullpen Values'!$K$11:$N$11)*(3/9),IF(I33="Indians",AVERAGE('Bullpen Values'!$K$12:$N$12)*(3/9),IF(I33="Rockies",AVERAGE('Bullpen Values'!$K$13:$N$13)*(3/9),IF(I33="Tigers",AVERAGE('Bullpen Values'!$K$14:$N$14)*(3/9),IF(I33="Astros",AVERAGE('Bullpen Values'!$K$15:$N$15)*(3/9),IF(I33="Royals",AVERAGE('Bullpen Values'!$K$16:$N$16)*(3/9),IF(I33="Angels",AVERAGE('Bullpen Values'!$K$17:$N$17)*(3/9),IF(I33="Dodgers",AVERAGE('Bullpen Values'!$K$18:$N$18)*(3/9),IF(I33="Marlins",AVERAGE('Bullpen Values'!$K$19:$N$19)*(3/9),IF(I33="Brewers",AVERAGE('Bullpen Values'!$K$20:$N$20)*(3/9),IF(I33="Twins",AVERAGE('Bullpen Values'!$K$21:$N$21)*(3/9),IF(I33="Mets",AVERAGE('Bullpen Values'!$K$22:$N$22)*(3/9),IF(I33="Yankees",AVERAGE('Bullpen Values'!$K$23:$N$23)*(3/9),IF(I33="Athletics",AVERAGE('Bullpen Values'!$K$24:$N$24)*(3/9),IF(I33="Phillies",AVERAGE('Bullpen Values'!$K$25:$N$25)*(3/9),IF(I33="Pirates",AVERAGE('Bullpen Values'!$K$26:$N$26)*(3/9),IF(I33="Padres",AVERAGE('Bullpen Values'!$K$27:$N$27)*(3/9),IF(I33="Giants",AVERAGE('Bullpen Values'!$K$28:$N$28)*(3/9),IF(I33="Mariners",AVERAGE('Bullpen Values'!$K$29:$N$29)*(3/9),IF(I33="Cardinals",AVERAGE('Bullpen Values'!$K$30:$N$30)*(3/9),IF(I33="Rays",AVERAGE('Bullpen Values'!$K$31:$N$31)*(3/9),IF(I33="Rangers",AVERAGE('Bullpen Values'!$K$32:$N$32)*(3/9),IF(I33="Blue Jays",AVERAGE('Bullpen Values'!$K$33:$N$33)*(3/9),IF(I33="Nationals",AVERAGE('Bullpen Values'!$K$34:$N$34)*(3/9)))))))))))))))))))))))))))))))</f>
        <v>1.4444444444444442</v>
      </c>
      <c r="J36" s="17" t="s">
        <v>76</v>
      </c>
      <c r="K36" s="19">
        <f>IF(K33="Diamondbacks", AVERAGE('Bullpen Values'!$K$5:$N$5)*(3/9), IF(K33="Braves",AVERAGE('Bullpen Values'!$K$6:$N$6)*(3/9),IF(K33="Orioles",AVERAGE('Bullpen Values'!$K$7:$N$7)*(3/9),IF(K33="Red Sox",AVERAGE('Bullpen Values'!$K$8:$N$8)*(3/9),IF(K33="Cubs",AVERAGE('Bullpen Values'!$K$9:$N$9)*(3/9),IF(K33="White Sox",AVERAGE('Bullpen Values'!$K$10:$N$10)*(3/9),IF(K33="Reds",AVERAGE('Bullpen Values'!$K$11:$N$11)*(3/9),IF(K33="Indians",AVERAGE('Bullpen Values'!$K$12:$N$12)*(3/9),IF(K33="Rockies",AVERAGE('Bullpen Values'!$K$13:$N$13)*(3/9),IF(K33="Tigers",AVERAGE('Bullpen Values'!$K$14:$N$14)*(3/9),IF(K33="Astros",AVERAGE('Bullpen Values'!$K$15:$N$15)*(3/9),IF(K33="Royals",AVERAGE('Bullpen Values'!$K$16:$N$16)*(3/9),IF(K33="Angels",AVERAGE('Bullpen Values'!$K$17:$N$17)*(3/9),IF(K33="Dodgers",AVERAGE('Bullpen Values'!$K$18:$N$18)*(3/9),IF(K33="Marlins",AVERAGE('Bullpen Values'!$K$19:$N$19)*(3/9),IF(K33="Brewers",AVERAGE('Bullpen Values'!$K$20:$N$20)*(3/9),IF(K33="Twins",AVERAGE('Bullpen Values'!$K$21:$N$21)*(3/9),IF(K33="Mets",AVERAGE('Bullpen Values'!$K$22:$N$22)*(3/9),IF(K33="Yankees",AVERAGE('Bullpen Values'!$K$23:$N$23)*(3/9),IF(K33="Athletics",AVERAGE('Bullpen Values'!$K$24:$N$24)*(3/9),IF(K33="Phillies",AVERAGE('Bullpen Values'!$K$25:$N$25)*(3/9),IF(K33="Pirates",AVERAGE('Bullpen Values'!$K$26:$N$26)*(3/9),IF(K33="Padres",AVERAGE('Bullpen Values'!$K$27:$N$27)*(3/9),IF(K33="Giants",AVERAGE('Bullpen Values'!$K$28:$N$28)*(3/9),IF(K33="Mariners",AVERAGE('Bullpen Values'!$K$29:$N$29)*(3/9),IF(K33="Cardinals",AVERAGE('Bullpen Values'!$K$30:$N$30)*(3/9),IF(K33="Rays",AVERAGE('Bullpen Values'!$K$31:$N$31)*(3/9),IF(K33="Rangers",AVERAGE('Bullpen Values'!$K$32:$N$32)*(3/9),IF(K33="Blue Jays",AVERAGE('Bullpen Values'!$K$33:$N$33)*(3/9),IF(K33="Nationals",AVERAGE('Bullpen Values'!$K$34:$N$34)*(3/9)))))))))))))))))))))))))))))))</f>
        <v>1.5422222222222219</v>
      </c>
      <c r="L36" s="16" t="b">
        <f>IF(L34=6.5,1.67,IF(L34=7,1.72,IF(L34=7.5,1.76,IF(L34=8,1.8,IF(L34=8.5,1.84,IF(L34=9,1.88,IF(L34=9.5,1.92,IF(L34=10,1.95,IF(L34=10.5,1.98,IF(L34=11,2.01,IF(L34=11.5,2.04,IF(L34=12,2.07,IF(L34=12.5,2.1,IF(L34=13,2.12))))))))))))))</f>
        <v>0</v>
      </c>
      <c r="Q36" s="18"/>
    </row>
    <row r="37" spans="1:17">
      <c r="A37" s="15">
        <f>(A35+A36)/$M$4</f>
        <v>1.0219478737997258</v>
      </c>
      <c r="B37" s="17" t="s">
        <v>78</v>
      </c>
      <c r="C37" s="15">
        <f>(C35+C36)/$M$4</f>
        <v>1.0268861454046641</v>
      </c>
      <c r="E37" s="15">
        <f>(E35+E36)/$M$4</f>
        <v>0.90123456790123457</v>
      </c>
      <c r="F37" s="17" t="s">
        <v>78</v>
      </c>
      <c r="G37" s="15">
        <f>(G35+G36)/$M$4</f>
        <v>0.98052126200274348</v>
      </c>
      <c r="I37" s="15">
        <f>(I35+I36)/$M$4</f>
        <v>1.0973936899862826</v>
      </c>
      <c r="J37" s="17" t="s">
        <v>78</v>
      </c>
      <c r="K37" s="15">
        <f>(K35+K36)/$M$4</f>
        <v>0.95939643347050729</v>
      </c>
      <c r="Q37" s="18"/>
    </row>
    <row r="38" spans="1:17">
      <c r="A38" s="15">
        <f>A34*C37*$M$6</f>
        <v>4.3769399428304387</v>
      </c>
      <c r="B38" s="17" t="s">
        <v>18</v>
      </c>
      <c r="C38" s="15">
        <f>C34*A37*$M$6</f>
        <v>4.4343356830086949</v>
      </c>
      <c r="E38" s="15">
        <f>E34*G37*$M$6</f>
        <v>4.3698557633074184</v>
      </c>
      <c r="F38" s="17" t="s">
        <v>18</v>
      </c>
      <c r="G38" s="15">
        <f>G34*E37*$M$6</f>
        <v>3.7797808763696792</v>
      </c>
      <c r="I38" s="15">
        <f>I34*K37*$M$6</f>
        <v>3.9225110909421042</v>
      </c>
      <c r="J38" s="17" t="s">
        <v>18</v>
      </c>
      <c r="K38" s="15">
        <f>K34*I37*$M$6</f>
        <v>4.7398576323389907</v>
      </c>
      <c r="Q38" s="18"/>
    </row>
    <row r="39" spans="1:17">
      <c r="A39" s="20">
        <f>POWER(A38,D36)/(POWER(A38,D36)+(POWER(C38,D36)))</f>
        <v>0.49439820390848449</v>
      </c>
      <c r="B39" s="17" t="s">
        <v>82</v>
      </c>
      <c r="C39" s="20">
        <f>POWER(C38,D36)/(POWER(C38,D36)+(POWER(A38,D36)))</f>
        <v>0.50560179609151557</v>
      </c>
      <c r="E39" s="20">
        <v>0.28999999999999998</v>
      </c>
      <c r="F39" s="17" t="s">
        <v>82</v>
      </c>
      <c r="G39" s="20">
        <f>POWER(G38,H36)/(POWER(G38,H36)+(POWER(E38,H36)))</f>
        <v>0.5</v>
      </c>
      <c r="I39" s="20">
        <f>POWER(I38,L36)/(POWER(I38,L36)+(POWER(K38,L36)))</f>
        <v>0.5</v>
      </c>
      <c r="J39" s="17" t="s">
        <v>82</v>
      </c>
      <c r="K39" s="20">
        <f>POWER(K38,L36)/(POWER(K38,L36)+(POWER(I38,L36)))</f>
        <v>0.5</v>
      </c>
      <c r="Q39" s="18"/>
    </row>
    <row r="40" spans="1:17">
      <c r="A40" s="19">
        <f>IF(A39&lt;0.5,100/(A39/1)-100,((A39*100)/(1-(A39/1)))*-1)</f>
        <v>102.2661069749972</v>
      </c>
      <c r="B40" s="17" t="s">
        <v>84</v>
      </c>
      <c r="C40" s="19">
        <f>IF(C39&lt;0.5,100/(C39/1)-100,((C39*100)/(1-(C39/1)))*-1)</f>
        <v>-102.26610697499721</v>
      </c>
      <c r="D40"/>
      <c r="E40" s="19">
        <f>IF(E39&lt;0.5,100/(E39/1)-100,((E39*100)/(1-(E39/1)))*-1)</f>
        <v>244.82758620689657</v>
      </c>
      <c r="F40" s="17" t="s">
        <v>84</v>
      </c>
      <c r="G40" s="19">
        <f>IF(G39&lt;0.5,100/(G39/1)-100,((G39*100)/(1-(G39/1)))*-1)</f>
        <v>-100</v>
      </c>
      <c r="H40"/>
      <c r="I40"/>
      <c r="J40" s="17" t="s">
        <v>84</v>
      </c>
      <c r="K40" s="19">
        <f>IF(K39&lt;0.5,100/(K39/1)-100,((K39*100)/(1-(K39/1)))*-1)</f>
        <v>-100</v>
      </c>
      <c r="L40"/>
    </row>
    <row r="41" spans="1:17">
      <c r="C4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5215-62D9-4750-A500-2094D5B2DA8E}">
  <dimension ref="A1:U35"/>
  <sheetViews>
    <sheetView workbookViewId="0">
      <selection activeCell="U11" sqref="U11"/>
    </sheetView>
  </sheetViews>
  <sheetFormatPr defaultRowHeight="15"/>
  <cols>
    <col min="1" max="1" width="21.5703125" bestFit="1" customWidth="1"/>
    <col min="16" max="16" width="16.140625" bestFit="1" customWidth="1"/>
  </cols>
  <sheetData>
    <row r="1" spans="1:2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P1" t="s">
        <v>122</v>
      </c>
      <c r="Q1" t="s">
        <v>123</v>
      </c>
      <c r="T1" s="16"/>
      <c r="U1" s="18" t="s">
        <v>124</v>
      </c>
    </row>
    <row r="2" spans="1:21">
      <c r="A2" s="1" t="s">
        <v>124</v>
      </c>
      <c r="B2" s="1">
        <v>109</v>
      </c>
      <c r="C2" s="1">
        <v>2021</v>
      </c>
      <c r="D2" s="1">
        <v>2187</v>
      </c>
      <c r="E2" s="1">
        <v>1453</v>
      </c>
      <c r="F2" s="1">
        <v>0.23499999999999999</v>
      </c>
      <c r="G2" s="1">
        <v>0.23300000000000001</v>
      </c>
      <c r="H2" s="1">
        <v>2E-3</v>
      </c>
      <c r="I2" s="1">
        <v>0.38800000000000001</v>
      </c>
      <c r="J2" s="1">
        <v>0.38300000000000001</v>
      </c>
      <c r="K2" s="1">
        <v>5.0000000000000001E-3</v>
      </c>
      <c r="L2" s="1">
        <v>0.30599999999999999</v>
      </c>
      <c r="M2" s="1">
        <v>0.30499999999999999</v>
      </c>
      <c r="N2" s="1">
        <v>1E-3</v>
      </c>
      <c r="P2">
        <f>L2/$I$34</f>
        <v>0.98709677419354835</v>
      </c>
      <c r="Q2">
        <f>M2/$J$34</f>
        <v>0.9561128526645768</v>
      </c>
      <c r="T2" s="16"/>
      <c r="U2" s="18"/>
    </row>
    <row r="3" spans="1:21">
      <c r="A3" s="1" t="s">
        <v>125</v>
      </c>
      <c r="B3" s="1">
        <v>144</v>
      </c>
      <c r="C3" s="1">
        <v>2021</v>
      </c>
      <c r="D3" s="1">
        <v>1979</v>
      </c>
      <c r="E3" s="1">
        <v>1271</v>
      </c>
      <c r="F3" s="1">
        <v>0.23400000000000001</v>
      </c>
      <c r="G3" s="1">
        <v>0.251</v>
      </c>
      <c r="H3" s="1">
        <v>-1.7000000000000001E-2</v>
      </c>
      <c r="I3" s="1">
        <v>0.433</v>
      </c>
      <c r="J3" s="1">
        <v>0.46300000000000002</v>
      </c>
      <c r="K3" s="1">
        <v>-0.03</v>
      </c>
      <c r="L3" s="1">
        <v>0.32300000000000001</v>
      </c>
      <c r="M3" s="1">
        <v>0.34100000000000003</v>
      </c>
      <c r="N3" s="1">
        <v>-1.7999999999999999E-2</v>
      </c>
      <c r="P3">
        <f t="shared" ref="P3:P31" si="0">L3/$I$34</f>
        <v>1.0419354838709678</v>
      </c>
      <c r="Q3">
        <f t="shared" ref="Q3:Q31" si="1">M3/$J$34</f>
        <v>1.0689655172413794</v>
      </c>
      <c r="T3" s="16"/>
      <c r="U3" s="18" t="s">
        <v>125</v>
      </c>
    </row>
    <row r="4" spans="1:21">
      <c r="A4" s="1" t="s">
        <v>126</v>
      </c>
      <c r="B4" s="1">
        <v>110</v>
      </c>
      <c r="C4" s="1">
        <v>2021</v>
      </c>
      <c r="D4" s="1">
        <v>2049</v>
      </c>
      <c r="E4" s="1">
        <v>1387</v>
      </c>
      <c r="F4" s="1">
        <v>0.23300000000000001</v>
      </c>
      <c r="G4" s="1">
        <v>0.23499999999999999</v>
      </c>
      <c r="H4" s="1">
        <v>-2E-3</v>
      </c>
      <c r="I4" s="1">
        <v>0.39</v>
      </c>
      <c r="J4" s="1">
        <v>0.39400000000000002</v>
      </c>
      <c r="K4" s="1">
        <v>-4.0000000000000001E-3</v>
      </c>
      <c r="L4" s="1">
        <v>0.30199999999999999</v>
      </c>
      <c r="M4" s="1">
        <v>0.30499999999999999</v>
      </c>
      <c r="N4" s="1">
        <v>-3.0000000000000001E-3</v>
      </c>
      <c r="P4">
        <f t="shared" si="0"/>
        <v>0.97419354838709671</v>
      </c>
      <c r="Q4">
        <f t="shared" si="1"/>
        <v>0.9561128526645768</v>
      </c>
      <c r="T4" s="16"/>
      <c r="U4" s="18" t="s">
        <v>126</v>
      </c>
    </row>
    <row r="5" spans="1:21">
      <c r="A5" s="1" t="s">
        <v>127</v>
      </c>
      <c r="B5" s="1">
        <v>111</v>
      </c>
      <c r="C5" s="1">
        <v>2021</v>
      </c>
      <c r="D5" s="1">
        <v>2037</v>
      </c>
      <c r="E5" s="1">
        <v>1383</v>
      </c>
      <c r="F5" s="1">
        <v>0.25700000000000001</v>
      </c>
      <c r="G5" s="1">
        <v>0.25800000000000001</v>
      </c>
      <c r="H5" s="1">
        <v>-1E-3</v>
      </c>
      <c r="I5" s="1">
        <v>0.438</v>
      </c>
      <c r="J5" s="1">
        <v>0.45300000000000001</v>
      </c>
      <c r="K5" s="1">
        <v>-1.4999999999999999E-2</v>
      </c>
      <c r="L5" s="1">
        <v>0.32600000000000001</v>
      </c>
      <c r="M5" s="1">
        <v>0.33100000000000002</v>
      </c>
      <c r="N5" s="1">
        <v>-5.0000000000000001E-3</v>
      </c>
      <c r="P5">
        <f t="shared" si="0"/>
        <v>1.0516129032258066</v>
      </c>
      <c r="Q5">
        <f t="shared" si="1"/>
        <v>1.0376175548589341</v>
      </c>
      <c r="T5" s="16"/>
      <c r="U5" s="18" t="s">
        <v>127</v>
      </c>
    </row>
    <row r="6" spans="1:21">
      <c r="A6" s="1" t="s">
        <v>128</v>
      </c>
      <c r="B6" s="1">
        <v>112</v>
      </c>
      <c r="C6" s="1">
        <v>2021</v>
      </c>
      <c r="D6" s="1">
        <v>2061</v>
      </c>
      <c r="E6" s="1">
        <v>1316</v>
      </c>
      <c r="F6" s="1">
        <v>0.24199999999999999</v>
      </c>
      <c r="G6" s="1">
        <v>0.23799999999999999</v>
      </c>
      <c r="H6" s="1">
        <v>4.0000000000000001E-3</v>
      </c>
      <c r="I6" s="1">
        <v>0.41299999999999998</v>
      </c>
      <c r="J6" s="1">
        <v>0.40400000000000003</v>
      </c>
      <c r="K6" s="1">
        <v>8.9999999999999993E-3</v>
      </c>
      <c r="L6" s="1">
        <v>0.32100000000000001</v>
      </c>
      <c r="M6" s="1">
        <v>0.31900000000000001</v>
      </c>
      <c r="N6" s="1">
        <v>2E-3</v>
      </c>
      <c r="P6">
        <f t="shared" si="0"/>
        <v>1.0354838709677419</v>
      </c>
      <c r="Q6">
        <f t="shared" si="1"/>
        <v>1</v>
      </c>
      <c r="T6" s="16"/>
      <c r="U6" s="18" t="s">
        <v>128</v>
      </c>
    </row>
    <row r="7" spans="1:21">
      <c r="A7" s="1" t="s">
        <v>129</v>
      </c>
      <c r="B7" s="1">
        <v>145</v>
      </c>
      <c r="C7" s="1">
        <v>2021</v>
      </c>
      <c r="D7" s="1">
        <v>2050</v>
      </c>
      <c r="E7" s="1">
        <v>1321</v>
      </c>
      <c r="F7" s="1">
        <v>0.25600000000000001</v>
      </c>
      <c r="G7" s="1">
        <v>0.246</v>
      </c>
      <c r="H7" s="1">
        <v>0.01</v>
      </c>
      <c r="I7" s="1">
        <v>0.40600000000000003</v>
      </c>
      <c r="J7" s="1">
        <v>0.41099999999999998</v>
      </c>
      <c r="K7" s="1">
        <v>-5.0000000000000001E-3</v>
      </c>
      <c r="L7" s="1">
        <v>0.33</v>
      </c>
      <c r="M7" s="1">
        <v>0.33</v>
      </c>
      <c r="N7" s="1">
        <v>0</v>
      </c>
      <c r="P7">
        <f t="shared" si="0"/>
        <v>1.0645161290322582</v>
      </c>
      <c r="Q7">
        <f t="shared" si="1"/>
        <v>1.0344827586206897</v>
      </c>
      <c r="T7" s="16"/>
      <c r="U7" s="18" t="s">
        <v>129</v>
      </c>
    </row>
    <row r="8" spans="1:21">
      <c r="A8" s="1" t="s">
        <v>130</v>
      </c>
      <c r="B8" s="1">
        <v>113</v>
      </c>
      <c r="C8" s="1">
        <v>2021</v>
      </c>
      <c r="D8" s="1">
        <v>2030</v>
      </c>
      <c r="E8" s="1">
        <v>1360</v>
      </c>
      <c r="F8" s="1">
        <v>0.247</v>
      </c>
      <c r="G8" s="1">
        <v>0.251</v>
      </c>
      <c r="H8" s="1">
        <v>-4.0000000000000001E-3</v>
      </c>
      <c r="I8" s="1">
        <v>0.42299999999999999</v>
      </c>
      <c r="J8" s="1">
        <v>0.436</v>
      </c>
      <c r="K8" s="1">
        <v>-1.2999999999999999E-2</v>
      </c>
      <c r="L8" s="1">
        <v>0.32600000000000001</v>
      </c>
      <c r="M8" s="1">
        <v>0.33100000000000002</v>
      </c>
      <c r="N8" s="1">
        <v>-5.0000000000000001E-3</v>
      </c>
      <c r="P8">
        <f t="shared" si="0"/>
        <v>1.0516129032258066</v>
      </c>
      <c r="Q8">
        <f t="shared" si="1"/>
        <v>1.0376175548589341</v>
      </c>
      <c r="T8" s="16"/>
      <c r="U8" s="18" t="s">
        <v>130</v>
      </c>
    </row>
    <row r="9" spans="1:21">
      <c r="A9" s="1" t="s">
        <v>131</v>
      </c>
      <c r="B9" s="1">
        <v>114</v>
      </c>
      <c r="C9" s="1">
        <v>2021</v>
      </c>
      <c r="D9" s="1">
        <v>1935</v>
      </c>
      <c r="E9" s="1">
        <v>1302</v>
      </c>
      <c r="F9" s="1">
        <v>0.218</v>
      </c>
      <c r="G9" s="1">
        <v>0.24099999999999999</v>
      </c>
      <c r="H9" s="1">
        <v>-2.3E-2</v>
      </c>
      <c r="I9" s="1">
        <v>0.38200000000000001</v>
      </c>
      <c r="J9" s="1">
        <v>0.41499999999999998</v>
      </c>
      <c r="K9" s="1">
        <v>-3.3000000000000002E-2</v>
      </c>
      <c r="L9" s="1">
        <v>0.29399999999999998</v>
      </c>
      <c r="M9" s="1">
        <v>0.318</v>
      </c>
      <c r="N9" s="1">
        <v>-2.4E-2</v>
      </c>
      <c r="P9">
        <f t="shared" si="0"/>
        <v>0.94838709677419353</v>
      </c>
      <c r="Q9">
        <f t="shared" si="1"/>
        <v>0.99686520376175547</v>
      </c>
      <c r="T9" s="16"/>
      <c r="U9" s="18" t="s">
        <v>131</v>
      </c>
    </row>
    <row r="10" spans="1:21">
      <c r="A10" s="1" t="s">
        <v>132</v>
      </c>
      <c r="B10" s="1">
        <v>115</v>
      </c>
      <c r="C10" s="1">
        <v>2021</v>
      </c>
      <c r="D10" s="1">
        <v>2034</v>
      </c>
      <c r="E10" s="1">
        <v>1365</v>
      </c>
      <c r="F10" s="1">
        <v>0.23599999999999999</v>
      </c>
      <c r="G10" s="1">
        <v>0.24199999999999999</v>
      </c>
      <c r="H10" s="1">
        <v>-6.0000000000000001E-3</v>
      </c>
      <c r="I10" s="1">
        <v>0.38400000000000001</v>
      </c>
      <c r="J10" s="1">
        <v>0.39200000000000002</v>
      </c>
      <c r="K10" s="1">
        <v>-8.0000000000000002E-3</v>
      </c>
      <c r="L10" s="1">
        <v>0.3</v>
      </c>
      <c r="M10" s="1">
        <v>0.30499999999999999</v>
      </c>
      <c r="N10" s="1">
        <v>-5.0000000000000001E-3</v>
      </c>
      <c r="P10">
        <f t="shared" si="0"/>
        <v>0.96774193548387089</v>
      </c>
      <c r="Q10">
        <f t="shared" si="1"/>
        <v>0.9561128526645768</v>
      </c>
      <c r="T10" s="16"/>
      <c r="U10" s="18" t="s">
        <v>132</v>
      </c>
    </row>
    <row r="11" spans="1:21">
      <c r="A11" s="1" t="s">
        <v>133</v>
      </c>
      <c r="B11" s="1">
        <v>116</v>
      </c>
      <c r="C11" s="1">
        <v>2021</v>
      </c>
      <c r="D11" s="1">
        <v>2001</v>
      </c>
      <c r="E11" s="1">
        <v>1252</v>
      </c>
      <c r="F11" s="1">
        <v>0.22700000000000001</v>
      </c>
      <c r="G11" s="1">
        <v>0.22600000000000001</v>
      </c>
      <c r="H11" s="1">
        <v>1E-3</v>
      </c>
      <c r="I11" s="1">
        <v>0.36399999999999999</v>
      </c>
      <c r="J11" s="1">
        <v>0.379</v>
      </c>
      <c r="K11" s="1">
        <v>-1.4999999999999999E-2</v>
      </c>
      <c r="L11" s="1">
        <v>0.29199999999999998</v>
      </c>
      <c r="M11" s="1">
        <v>0.3</v>
      </c>
      <c r="N11" s="1">
        <v>-8.0000000000000002E-3</v>
      </c>
      <c r="P11">
        <f t="shared" si="0"/>
        <v>0.9419354838709677</v>
      </c>
      <c r="Q11">
        <f t="shared" si="1"/>
        <v>0.94043887147335414</v>
      </c>
      <c r="T11" s="16"/>
      <c r="U11" s="18" t="s">
        <v>133</v>
      </c>
    </row>
    <row r="12" spans="1:21">
      <c r="A12" s="1" t="s">
        <v>134</v>
      </c>
      <c r="B12" s="1">
        <v>117</v>
      </c>
      <c r="C12" s="1">
        <v>2021</v>
      </c>
      <c r="D12" s="1">
        <v>2130</v>
      </c>
      <c r="E12" s="1">
        <v>1530</v>
      </c>
      <c r="F12" s="1">
        <v>0.26500000000000001</v>
      </c>
      <c r="G12" s="1">
        <v>0.27400000000000002</v>
      </c>
      <c r="H12" s="1">
        <v>-8.9999999999999993E-3</v>
      </c>
      <c r="I12" s="1">
        <v>0.42199999999999999</v>
      </c>
      <c r="J12" s="1">
        <v>0.442</v>
      </c>
      <c r="K12" s="1">
        <v>-0.02</v>
      </c>
      <c r="L12" s="1">
        <v>0.33</v>
      </c>
      <c r="M12" s="1">
        <v>0.34200000000000003</v>
      </c>
      <c r="N12" s="1">
        <v>-1.2E-2</v>
      </c>
      <c r="P12">
        <f t="shared" si="0"/>
        <v>1.0645161290322582</v>
      </c>
      <c r="Q12">
        <f t="shared" si="1"/>
        <v>1.0721003134796239</v>
      </c>
      <c r="T12" s="16"/>
      <c r="U12" s="18" t="s">
        <v>134</v>
      </c>
    </row>
    <row r="13" spans="1:21">
      <c r="A13" s="1" t="s">
        <v>135</v>
      </c>
      <c r="B13" s="1">
        <v>118</v>
      </c>
      <c r="C13" s="1">
        <v>2021</v>
      </c>
      <c r="D13" s="1">
        <v>1931</v>
      </c>
      <c r="E13" s="1">
        <v>1322</v>
      </c>
      <c r="F13" s="1">
        <v>0.24099999999999999</v>
      </c>
      <c r="G13" s="1">
        <v>0.245</v>
      </c>
      <c r="H13" s="1">
        <v>-4.0000000000000001E-3</v>
      </c>
      <c r="I13" s="1">
        <v>0.38600000000000001</v>
      </c>
      <c r="J13" s="1">
        <v>0.42399999999999999</v>
      </c>
      <c r="K13" s="1">
        <v>-3.7999999999999999E-2</v>
      </c>
      <c r="L13" s="1">
        <v>0.30199999999999999</v>
      </c>
      <c r="M13" s="1">
        <v>0.31900000000000001</v>
      </c>
      <c r="N13" s="1">
        <v>-1.7000000000000001E-2</v>
      </c>
      <c r="P13">
        <f>L13/$I$34</f>
        <v>0.97419354838709671</v>
      </c>
      <c r="Q13">
        <f t="shared" si="1"/>
        <v>1</v>
      </c>
      <c r="T13" s="16"/>
      <c r="U13" s="18" t="s">
        <v>135</v>
      </c>
    </row>
    <row r="14" spans="1:21">
      <c r="A14" s="1" t="s">
        <v>136</v>
      </c>
      <c r="B14" s="1">
        <v>108</v>
      </c>
      <c r="C14" s="1">
        <v>2021</v>
      </c>
      <c r="D14" s="1">
        <v>2013</v>
      </c>
      <c r="E14" s="1">
        <v>1379</v>
      </c>
      <c r="F14" s="1">
        <v>0.246</v>
      </c>
      <c r="G14" s="1">
        <v>0.245</v>
      </c>
      <c r="H14" s="1">
        <v>1E-3</v>
      </c>
      <c r="I14" s="1">
        <v>0.40899999999999997</v>
      </c>
      <c r="J14" s="1">
        <v>0.41299999999999998</v>
      </c>
      <c r="K14" s="1">
        <v>-4.0000000000000001E-3</v>
      </c>
      <c r="L14" s="1">
        <v>0.311</v>
      </c>
      <c r="M14" s="1">
        <v>0.312</v>
      </c>
      <c r="N14" s="1">
        <v>-1E-3</v>
      </c>
      <c r="P14">
        <f t="shared" si="0"/>
        <v>1.0032258064516129</v>
      </c>
      <c r="Q14">
        <f t="shared" si="1"/>
        <v>0.9780564263322884</v>
      </c>
      <c r="T14" s="16"/>
      <c r="U14" s="18" t="s">
        <v>136</v>
      </c>
    </row>
    <row r="15" spans="1:21">
      <c r="A15" s="1" t="s">
        <v>137</v>
      </c>
      <c r="B15" s="1">
        <v>119</v>
      </c>
      <c r="C15" s="1">
        <v>2021</v>
      </c>
      <c r="D15" s="1">
        <v>2206</v>
      </c>
      <c r="E15" s="1">
        <v>1401</v>
      </c>
      <c r="F15" s="1">
        <v>0.24199999999999999</v>
      </c>
      <c r="G15" s="1">
        <v>0.245</v>
      </c>
      <c r="H15" s="1">
        <v>-3.0000000000000001E-3</v>
      </c>
      <c r="I15" s="1">
        <v>0.41299999999999998</v>
      </c>
      <c r="J15" s="1">
        <v>0.42299999999999999</v>
      </c>
      <c r="K15" s="1">
        <v>-0.01</v>
      </c>
      <c r="L15" s="1">
        <v>0.33</v>
      </c>
      <c r="M15" s="1">
        <v>0.33500000000000002</v>
      </c>
      <c r="N15" s="1">
        <v>-5.0000000000000001E-3</v>
      </c>
      <c r="P15">
        <f t="shared" si="0"/>
        <v>1.0645161290322582</v>
      </c>
      <c r="Q15">
        <f t="shared" si="1"/>
        <v>1.0501567398119123</v>
      </c>
      <c r="T15" s="16"/>
      <c r="U15" s="18" t="s">
        <v>137</v>
      </c>
    </row>
    <row r="16" spans="1:21">
      <c r="A16" s="1" t="s">
        <v>138</v>
      </c>
      <c r="B16" s="1">
        <v>146</v>
      </c>
      <c r="C16" s="1">
        <v>2021</v>
      </c>
      <c r="D16" s="1">
        <v>1986</v>
      </c>
      <c r="E16" s="1">
        <v>1269</v>
      </c>
      <c r="F16" s="1">
        <v>0.23100000000000001</v>
      </c>
      <c r="G16" s="1">
        <v>0.22800000000000001</v>
      </c>
      <c r="H16" s="1">
        <v>3.0000000000000001E-3</v>
      </c>
      <c r="I16" s="1">
        <v>0.36599999999999999</v>
      </c>
      <c r="J16" s="1">
        <v>0.376</v>
      </c>
      <c r="K16" s="1">
        <v>-0.01</v>
      </c>
      <c r="L16" s="1">
        <v>0.29199999999999998</v>
      </c>
      <c r="M16" s="1">
        <v>0.29399999999999998</v>
      </c>
      <c r="N16" s="1">
        <v>-2E-3</v>
      </c>
      <c r="P16">
        <f t="shared" si="0"/>
        <v>0.9419354838709677</v>
      </c>
      <c r="Q16">
        <f t="shared" si="1"/>
        <v>0.92163009404388707</v>
      </c>
      <c r="T16" s="16"/>
      <c r="U16" s="18" t="s">
        <v>138</v>
      </c>
    </row>
    <row r="17" spans="1:21">
      <c r="A17" s="1" t="s">
        <v>139</v>
      </c>
      <c r="B17" s="1">
        <v>158</v>
      </c>
      <c r="C17" s="1">
        <v>2021</v>
      </c>
      <c r="D17" s="1">
        <v>2046</v>
      </c>
      <c r="E17" s="1">
        <v>1270</v>
      </c>
      <c r="F17" s="1">
        <v>0.21099999999999999</v>
      </c>
      <c r="G17" s="1">
        <v>0.22700000000000001</v>
      </c>
      <c r="H17" s="1">
        <v>-1.6E-2</v>
      </c>
      <c r="I17" s="1">
        <v>0.36299999999999999</v>
      </c>
      <c r="J17" s="1">
        <v>0.39200000000000002</v>
      </c>
      <c r="K17" s="1">
        <v>-2.9000000000000001E-2</v>
      </c>
      <c r="L17" s="1">
        <v>0.29199999999999998</v>
      </c>
      <c r="M17" s="1">
        <v>0.309</v>
      </c>
      <c r="N17" s="1">
        <v>-1.7000000000000001E-2</v>
      </c>
      <c r="P17">
        <f t="shared" si="0"/>
        <v>0.9419354838709677</v>
      </c>
      <c r="Q17">
        <f t="shared" si="1"/>
        <v>0.96865203761755481</v>
      </c>
      <c r="T17" s="16"/>
      <c r="U17" s="18" t="s">
        <v>139</v>
      </c>
    </row>
    <row r="18" spans="1:21">
      <c r="A18" s="1" t="s">
        <v>140</v>
      </c>
      <c r="B18" s="1">
        <v>142</v>
      </c>
      <c r="C18" s="1">
        <v>2021</v>
      </c>
      <c r="D18" s="1">
        <v>2078</v>
      </c>
      <c r="E18" s="1">
        <v>1369</v>
      </c>
      <c r="F18" s="1">
        <v>0.23899999999999999</v>
      </c>
      <c r="G18" s="1">
        <v>0.254</v>
      </c>
      <c r="H18" s="1">
        <v>-1.4999999999999999E-2</v>
      </c>
      <c r="I18" s="1">
        <v>0.42099999999999999</v>
      </c>
      <c r="J18" s="1">
        <v>0.46100000000000002</v>
      </c>
      <c r="K18" s="1">
        <v>-0.04</v>
      </c>
      <c r="L18" s="1">
        <v>0.32</v>
      </c>
      <c r="M18" s="1">
        <v>0.34100000000000003</v>
      </c>
      <c r="N18" s="1">
        <v>-2.1000000000000001E-2</v>
      </c>
      <c r="P18">
        <f t="shared" si="0"/>
        <v>1.032258064516129</v>
      </c>
      <c r="Q18">
        <f t="shared" si="1"/>
        <v>1.0689655172413794</v>
      </c>
      <c r="T18" s="16"/>
      <c r="U18" s="18" t="s">
        <v>140</v>
      </c>
    </row>
    <row r="19" spans="1:21">
      <c r="A19" s="1" t="s">
        <v>141</v>
      </c>
      <c r="B19" s="1">
        <v>121</v>
      </c>
      <c r="C19" s="1">
        <v>2021</v>
      </c>
      <c r="D19" s="1">
        <v>1736</v>
      </c>
      <c r="E19" s="1">
        <v>1152</v>
      </c>
      <c r="F19" s="1">
        <v>0.23400000000000001</v>
      </c>
      <c r="G19" s="1">
        <v>0.23899999999999999</v>
      </c>
      <c r="H19" s="1">
        <v>-5.0000000000000001E-3</v>
      </c>
      <c r="I19" s="1">
        <v>0.36399999999999999</v>
      </c>
      <c r="J19" s="1">
        <v>0.39800000000000002</v>
      </c>
      <c r="K19" s="1">
        <v>-3.4000000000000002E-2</v>
      </c>
      <c r="L19" s="1">
        <v>0.3</v>
      </c>
      <c r="M19" s="1">
        <v>0.315</v>
      </c>
      <c r="N19" s="1">
        <v>-1.4999999999999999E-2</v>
      </c>
      <c r="P19">
        <f t="shared" si="0"/>
        <v>0.96774193548387089</v>
      </c>
      <c r="Q19">
        <f t="shared" si="1"/>
        <v>0.98746081504702188</v>
      </c>
      <c r="T19" s="16"/>
      <c r="U19" s="18" t="s">
        <v>141</v>
      </c>
    </row>
    <row r="20" spans="1:21">
      <c r="A20" s="1" t="s">
        <v>142</v>
      </c>
      <c r="B20" s="1">
        <v>147</v>
      </c>
      <c r="C20" s="1">
        <v>2021</v>
      </c>
      <c r="D20" s="1">
        <v>2069</v>
      </c>
      <c r="E20" s="1">
        <v>1310</v>
      </c>
      <c r="F20" s="1">
        <v>0.22800000000000001</v>
      </c>
      <c r="G20" s="1">
        <v>0.247</v>
      </c>
      <c r="H20" s="1">
        <v>-1.9E-2</v>
      </c>
      <c r="I20" s="1">
        <v>0.372</v>
      </c>
      <c r="J20" s="1">
        <v>0.42699999999999999</v>
      </c>
      <c r="K20" s="1">
        <v>-5.5E-2</v>
      </c>
      <c r="L20" s="1">
        <v>0.30599999999999999</v>
      </c>
      <c r="M20" s="1">
        <v>0.33200000000000002</v>
      </c>
      <c r="N20" s="1">
        <v>-2.5999999999999999E-2</v>
      </c>
      <c r="P20">
        <f t="shared" si="0"/>
        <v>0.98709677419354835</v>
      </c>
      <c r="Q20">
        <f t="shared" si="1"/>
        <v>1.0407523510971788</v>
      </c>
      <c r="T20" s="16"/>
      <c r="U20" s="18" t="s">
        <v>142</v>
      </c>
    </row>
    <row r="21" spans="1:21">
      <c r="A21" s="1" t="s">
        <v>143</v>
      </c>
      <c r="B21" s="1">
        <v>133</v>
      </c>
      <c r="C21" s="1">
        <v>2021</v>
      </c>
      <c r="D21" s="1">
        <v>2136</v>
      </c>
      <c r="E21" s="1">
        <v>1382</v>
      </c>
      <c r="F21" s="1">
        <v>0.22900000000000001</v>
      </c>
      <c r="G21" s="1">
        <v>0.23799999999999999</v>
      </c>
      <c r="H21" s="1">
        <v>-8.9999999999999993E-3</v>
      </c>
      <c r="I21" s="1">
        <v>0.40500000000000003</v>
      </c>
      <c r="J21" s="1">
        <v>0.432</v>
      </c>
      <c r="K21" s="1">
        <v>-2.7E-2</v>
      </c>
      <c r="L21" s="1">
        <v>0.315</v>
      </c>
      <c r="M21" s="1">
        <v>0.32800000000000001</v>
      </c>
      <c r="N21" s="1">
        <v>-1.2999999999999999E-2</v>
      </c>
      <c r="P21">
        <f t="shared" si="0"/>
        <v>1.0161290322580645</v>
      </c>
      <c r="Q21">
        <f t="shared" si="1"/>
        <v>1.0282131661442007</v>
      </c>
      <c r="T21" s="16"/>
      <c r="U21" s="18" t="s">
        <v>143</v>
      </c>
    </row>
    <row r="22" spans="1:21">
      <c r="A22" s="1" t="s">
        <v>144</v>
      </c>
      <c r="B22" s="1">
        <v>143</v>
      </c>
      <c r="C22" s="1">
        <v>2021</v>
      </c>
      <c r="D22" s="1">
        <v>2049</v>
      </c>
      <c r="E22" s="1">
        <v>1289</v>
      </c>
      <c r="F22" s="1">
        <v>0.23699999999999999</v>
      </c>
      <c r="G22" s="1">
        <v>0.23899999999999999</v>
      </c>
      <c r="H22" s="1">
        <v>-2E-3</v>
      </c>
      <c r="I22" s="1">
        <v>0.38700000000000001</v>
      </c>
      <c r="J22" s="1">
        <v>0.39600000000000002</v>
      </c>
      <c r="K22" s="1">
        <v>-8.9999999999999993E-3</v>
      </c>
      <c r="L22" s="1">
        <v>0.30599999999999999</v>
      </c>
      <c r="M22" s="1">
        <v>0.31</v>
      </c>
      <c r="N22" s="1">
        <v>-4.0000000000000001E-3</v>
      </c>
      <c r="P22">
        <f t="shared" si="0"/>
        <v>0.98709677419354835</v>
      </c>
      <c r="Q22">
        <f t="shared" si="1"/>
        <v>0.97178683385579934</v>
      </c>
      <c r="T22" s="16"/>
      <c r="U22" s="18" t="s">
        <v>144</v>
      </c>
    </row>
    <row r="23" spans="1:21">
      <c r="A23" s="1" t="s">
        <v>145</v>
      </c>
      <c r="B23" s="1">
        <v>134</v>
      </c>
      <c r="C23" s="1">
        <v>2021</v>
      </c>
      <c r="D23" s="1">
        <v>1988</v>
      </c>
      <c r="E23" s="1">
        <v>1337</v>
      </c>
      <c r="F23" s="1">
        <v>0.22800000000000001</v>
      </c>
      <c r="G23" s="1">
        <v>0.23499999999999999</v>
      </c>
      <c r="H23" s="1">
        <v>-7.0000000000000001E-3</v>
      </c>
      <c r="I23" s="1">
        <v>0.34899999999999998</v>
      </c>
      <c r="J23" s="1">
        <v>0.36599999999999999</v>
      </c>
      <c r="K23" s="1">
        <v>-1.7000000000000001E-2</v>
      </c>
      <c r="L23" s="1">
        <v>0.28799999999999998</v>
      </c>
      <c r="M23" s="1">
        <v>0.29799999999999999</v>
      </c>
      <c r="N23" s="1">
        <v>-0.01</v>
      </c>
      <c r="P23">
        <f t="shared" si="0"/>
        <v>0.92903225806451606</v>
      </c>
      <c r="Q23">
        <f t="shared" si="1"/>
        <v>0.93416927899686519</v>
      </c>
      <c r="T23" s="16"/>
      <c r="U23" s="18" t="s">
        <v>145</v>
      </c>
    </row>
    <row r="24" spans="1:21">
      <c r="A24" s="1" t="s">
        <v>146</v>
      </c>
      <c r="B24" s="1">
        <v>135</v>
      </c>
      <c r="C24" s="1">
        <v>2021</v>
      </c>
      <c r="D24" s="1">
        <v>2183</v>
      </c>
      <c r="E24" s="1">
        <v>1466</v>
      </c>
      <c r="F24" s="1">
        <v>0.23699999999999999</v>
      </c>
      <c r="G24" s="1">
        <v>0.24299999999999999</v>
      </c>
      <c r="H24" s="1">
        <v>-6.0000000000000001E-3</v>
      </c>
      <c r="I24" s="1">
        <v>0.38</v>
      </c>
      <c r="J24" s="1">
        <v>0.39500000000000002</v>
      </c>
      <c r="K24" s="1">
        <v>-1.4999999999999999E-2</v>
      </c>
      <c r="L24" s="1">
        <v>0.308</v>
      </c>
      <c r="M24" s="1">
        <v>0.318</v>
      </c>
      <c r="N24" s="1">
        <v>-0.01</v>
      </c>
      <c r="P24">
        <f t="shared" si="0"/>
        <v>0.99354838709677418</v>
      </c>
      <c r="Q24">
        <f t="shared" si="1"/>
        <v>0.99686520376175547</v>
      </c>
      <c r="T24" s="16"/>
      <c r="U24" s="18" t="s">
        <v>146</v>
      </c>
    </row>
    <row r="25" spans="1:21">
      <c r="A25" s="1" t="s">
        <v>147</v>
      </c>
      <c r="B25" s="1">
        <v>137</v>
      </c>
      <c r="C25" s="1">
        <v>2021</v>
      </c>
      <c r="D25" s="1">
        <v>2059</v>
      </c>
      <c r="E25" s="1">
        <v>1285</v>
      </c>
      <c r="F25" s="1">
        <v>0.23</v>
      </c>
      <c r="G25" s="1">
        <v>0.23599999999999999</v>
      </c>
      <c r="H25" s="1">
        <v>-6.0000000000000001E-3</v>
      </c>
      <c r="I25" s="1">
        <v>0.41199999999999998</v>
      </c>
      <c r="J25" s="1">
        <v>0.42699999999999999</v>
      </c>
      <c r="K25" s="1">
        <v>-1.4999999999999999E-2</v>
      </c>
      <c r="L25" s="1">
        <v>0.317</v>
      </c>
      <c r="M25" s="1">
        <v>0.32400000000000001</v>
      </c>
      <c r="N25" s="1">
        <v>-7.0000000000000001E-3</v>
      </c>
      <c r="P25">
        <f t="shared" si="0"/>
        <v>1.0225806451612904</v>
      </c>
      <c r="Q25">
        <f t="shared" si="1"/>
        <v>1.0156739811912225</v>
      </c>
      <c r="T25" s="16"/>
      <c r="U25" s="18" t="s">
        <v>147</v>
      </c>
    </row>
    <row r="26" spans="1:21">
      <c r="A26" s="1" t="s">
        <v>148</v>
      </c>
      <c r="B26" s="1">
        <v>136</v>
      </c>
      <c r="C26" s="1">
        <v>2021</v>
      </c>
      <c r="D26" s="1">
        <v>2012</v>
      </c>
      <c r="E26" s="1">
        <v>1288</v>
      </c>
      <c r="F26" s="1">
        <v>0.20599999999999999</v>
      </c>
      <c r="G26" s="1">
        <v>0.224</v>
      </c>
      <c r="H26" s="1">
        <v>-1.7999999999999999E-2</v>
      </c>
      <c r="I26" s="1">
        <v>0.36399999999999999</v>
      </c>
      <c r="J26" s="1">
        <v>0.39700000000000002</v>
      </c>
      <c r="K26" s="1">
        <v>-3.3000000000000002E-2</v>
      </c>
      <c r="L26" s="1">
        <v>0.28499999999999998</v>
      </c>
      <c r="M26" s="1">
        <v>0.30499999999999999</v>
      </c>
      <c r="N26" s="1">
        <v>-0.02</v>
      </c>
      <c r="P26">
        <f t="shared" si="0"/>
        <v>0.91935483870967738</v>
      </c>
      <c r="Q26">
        <f t="shared" si="1"/>
        <v>0.9561128526645768</v>
      </c>
      <c r="T26" s="16"/>
      <c r="U26" s="18" t="s">
        <v>148</v>
      </c>
    </row>
    <row r="27" spans="1:21">
      <c r="A27" s="1" t="s">
        <v>149</v>
      </c>
      <c r="B27" s="1">
        <v>138</v>
      </c>
      <c r="C27" s="1">
        <v>2021</v>
      </c>
      <c r="D27" s="1">
        <v>2071</v>
      </c>
      <c r="E27" s="1">
        <v>1401</v>
      </c>
      <c r="F27" s="1">
        <v>0.23</v>
      </c>
      <c r="G27" s="1">
        <v>0.247</v>
      </c>
      <c r="H27" s="1">
        <v>-1.7000000000000001E-2</v>
      </c>
      <c r="I27" s="1">
        <v>0.39300000000000002</v>
      </c>
      <c r="J27" s="1">
        <v>0.43099999999999999</v>
      </c>
      <c r="K27" s="1">
        <v>-3.7999999999999999E-2</v>
      </c>
      <c r="L27" s="1">
        <v>0.30099999999999999</v>
      </c>
      <c r="M27" s="1">
        <v>0.32200000000000001</v>
      </c>
      <c r="N27" s="1">
        <v>-2.1000000000000001E-2</v>
      </c>
      <c r="P27">
        <f t="shared" si="0"/>
        <v>0.97096774193548385</v>
      </c>
      <c r="Q27">
        <f t="shared" si="1"/>
        <v>1.0094043887147335</v>
      </c>
      <c r="T27" s="16"/>
      <c r="U27" s="18" t="s">
        <v>149</v>
      </c>
    </row>
    <row r="28" spans="1:21">
      <c r="A28" s="1" t="s">
        <v>150</v>
      </c>
      <c r="B28" s="1">
        <v>139</v>
      </c>
      <c r="C28" s="1">
        <v>2021</v>
      </c>
      <c r="D28" s="1">
        <v>2208</v>
      </c>
      <c r="E28" s="1">
        <v>1348</v>
      </c>
      <c r="F28" s="1">
        <v>0.22800000000000001</v>
      </c>
      <c r="G28" s="1">
        <v>0.223</v>
      </c>
      <c r="H28" s="1">
        <v>5.0000000000000001E-3</v>
      </c>
      <c r="I28" s="1">
        <v>0.39400000000000002</v>
      </c>
      <c r="J28" s="1">
        <v>0.39</v>
      </c>
      <c r="K28" s="1">
        <v>4.0000000000000001E-3</v>
      </c>
      <c r="L28" s="1">
        <v>0.312</v>
      </c>
      <c r="M28" s="1">
        <v>0.308</v>
      </c>
      <c r="N28" s="1">
        <v>4.0000000000000001E-3</v>
      </c>
      <c r="P28">
        <f t="shared" si="0"/>
        <v>1.0064516129032257</v>
      </c>
      <c r="Q28">
        <f t="shared" si="1"/>
        <v>0.96551724137931028</v>
      </c>
      <c r="T28" s="16"/>
      <c r="U28" s="18" t="s">
        <v>150</v>
      </c>
    </row>
    <row r="29" spans="1:21">
      <c r="A29" s="1" t="s">
        <v>151</v>
      </c>
      <c r="B29" s="1">
        <v>140</v>
      </c>
      <c r="C29" s="1">
        <v>2021</v>
      </c>
      <c r="D29" s="1">
        <v>2106</v>
      </c>
      <c r="E29" s="1">
        <v>1365</v>
      </c>
      <c r="F29" s="1">
        <v>0.22900000000000001</v>
      </c>
      <c r="G29" s="1">
        <v>0.23699999999999999</v>
      </c>
      <c r="H29" s="1">
        <v>-8.0000000000000002E-3</v>
      </c>
      <c r="I29" s="1">
        <v>0.374</v>
      </c>
      <c r="J29" s="1">
        <v>0.4</v>
      </c>
      <c r="K29" s="1">
        <v>-2.5999999999999999E-2</v>
      </c>
      <c r="L29" s="1">
        <v>0.29599999999999999</v>
      </c>
      <c r="M29" s="1">
        <v>0.311</v>
      </c>
      <c r="N29" s="1">
        <v>-1.4999999999999999E-2</v>
      </c>
      <c r="P29">
        <f t="shared" si="0"/>
        <v>0.95483870967741935</v>
      </c>
      <c r="Q29">
        <f t="shared" si="1"/>
        <v>0.97492163009404387</v>
      </c>
      <c r="T29" s="16"/>
      <c r="U29" s="18" t="s">
        <v>151</v>
      </c>
    </row>
    <row r="30" spans="1:21">
      <c r="A30" s="1" t="s">
        <v>152</v>
      </c>
      <c r="B30" s="1">
        <v>141</v>
      </c>
      <c r="C30" s="1">
        <v>2021</v>
      </c>
      <c r="D30" s="1">
        <v>2031</v>
      </c>
      <c r="E30" s="1">
        <v>1396</v>
      </c>
      <c r="F30" s="1">
        <v>0.25900000000000001</v>
      </c>
      <c r="G30" s="1">
        <v>0.252</v>
      </c>
      <c r="H30" s="1">
        <v>7.0000000000000001E-3</v>
      </c>
      <c r="I30" s="1">
        <v>0.44400000000000001</v>
      </c>
      <c r="J30" s="1">
        <v>0.44</v>
      </c>
      <c r="K30" s="1">
        <v>4.0000000000000001E-3</v>
      </c>
      <c r="L30" s="1">
        <v>0.33300000000000002</v>
      </c>
      <c r="M30" s="1">
        <v>0.32800000000000001</v>
      </c>
      <c r="N30" s="1">
        <v>5.0000000000000001E-3</v>
      </c>
      <c r="P30">
        <f t="shared" si="0"/>
        <v>1.0741935483870968</v>
      </c>
      <c r="Q30">
        <f t="shared" si="1"/>
        <v>1.0282131661442007</v>
      </c>
      <c r="T30" s="16"/>
      <c r="U30" s="18" t="s">
        <v>152</v>
      </c>
    </row>
    <row r="31" spans="1:21">
      <c r="A31" s="1" t="s">
        <v>153</v>
      </c>
      <c r="B31" s="1">
        <v>120</v>
      </c>
      <c r="C31" s="1">
        <v>2021</v>
      </c>
      <c r="D31" s="1">
        <v>1921</v>
      </c>
      <c r="E31" s="1">
        <v>1308</v>
      </c>
      <c r="F31" s="1">
        <v>0.252</v>
      </c>
      <c r="G31" s="1">
        <v>0.25800000000000001</v>
      </c>
      <c r="H31" s="1">
        <v>-6.0000000000000001E-3</v>
      </c>
      <c r="I31" s="1">
        <v>0.39100000000000001</v>
      </c>
      <c r="J31" s="1">
        <v>0.42699999999999999</v>
      </c>
      <c r="K31" s="1">
        <v>-3.5999999999999997E-2</v>
      </c>
      <c r="L31" s="1">
        <v>0.311</v>
      </c>
      <c r="M31" s="1">
        <v>0.32800000000000001</v>
      </c>
      <c r="N31" s="1">
        <v>-1.7000000000000001E-2</v>
      </c>
      <c r="P31">
        <f t="shared" si="0"/>
        <v>1.0032258064516129</v>
      </c>
      <c r="Q31">
        <f t="shared" si="1"/>
        <v>1.0282131661442007</v>
      </c>
      <c r="T31" s="16"/>
      <c r="U31" s="18" t="s">
        <v>153</v>
      </c>
    </row>
    <row r="33" spans="1:12">
      <c r="B33" s="2" t="s">
        <v>154</v>
      </c>
      <c r="C33" s="3" t="s">
        <v>155</v>
      </c>
      <c r="D33" s="2" t="s">
        <v>156</v>
      </c>
      <c r="E33" s="2" t="s">
        <v>157</v>
      </c>
      <c r="F33" s="3" t="s">
        <v>158</v>
      </c>
      <c r="G33" s="2" t="s">
        <v>159</v>
      </c>
      <c r="H33" s="2" t="s">
        <v>157</v>
      </c>
      <c r="I33" s="3" t="s">
        <v>160</v>
      </c>
      <c r="J33" s="2" t="s">
        <v>161</v>
      </c>
      <c r="K33" s="4" t="s">
        <v>157</v>
      </c>
      <c r="L33" s="5"/>
    </row>
    <row r="34" spans="1:12">
      <c r="A34" s="6" t="s">
        <v>162</v>
      </c>
      <c r="B34" s="6">
        <v>2021</v>
      </c>
      <c r="C34" s="7">
        <v>0.23599999999999999</v>
      </c>
      <c r="D34" s="6">
        <v>0.24199999999999999</v>
      </c>
      <c r="E34" s="6">
        <v>-6.0000000000000001E-3</v>
      </c>
      <c r="F34" s="7">
        <v>0.39500000000000002</v>
      </c>
      <c r="G34" s="6">
        <v>0.41299999999999998</v>
      </c>
      <c r="H34" s="6">
        <v>-1.7999999999999999E-2</v>
      </c>
      <c r="I34" s="7">
        <v>0.31</v>
      </c>
      <c r="J34" s="6">
        <v>0.31900000000000001</v>
      </c>
      <c r="K34" s="8">
        <v>-8.9999999999999993E-3</v>
      </c>
    </row>
    <row r="35" spans="1:12">
      <c r="C35" s="7"/>
      <c r="D35" s="6"/>
      <c r="E35" s="6"/>
      <c r="F35" s="7"/>
      <c r="G35" s="6"/>
      <c r="H35" s="6"/>
      <c r="I35" s="7"/>
      <c r="J35" s="6"/>
      <c r="K3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541C-B882-4C8A-AC37-693658A79772}">
  <dimension ref="A1:Q154"/>
  <sheetViews>
    <sheetView workbookViewId="0">
      <selection activeCell="C35" sqref="C35"/>
    </sheetView>
  </sheetViews>
  <sheetFormatPr defaultRowHeight="15"/>
  <cols>
    <col min="1" max="1" width="19.140625" bestFit="1" customWidth="1"/>
  </cols>
  <sheetData>
    <row r="1" spans="1:17">
      <c r="A1" s="13" t="s">
        <v>163</v>
      </c>
      <c r="B1" s="13" t="s">
        <v>164</v>
      </c>
      <c r="C1" s="13" t="s">
        <v>165</v>
      </c>
      <c r="D1" s="13" t="s">
        <v>166</v>
      </c>
      <c r="E1" s="13" t="s">
        <v>167</v>
      </c>
      <c r="F1" s="13" t="s">
        <v>168</v>
      </c>
      <c r="G1" s="13" t="s">
        <v>169</v>
      </c>
      <c r="H1" s="13" t="s">
        <v>170</v>
      </c>
      <c r="I1" s="13" t="s">
        <v>171</v>
      </c>
      <c r="J1" s="13" t="s">
        <v>172</v>
      </c>
      <c r="K1" s="13" t="s">
        <v>173</v>
      </c>
      <c r="L1" s="13" t="s">
        <v>174</v>
      </c>
      <c r="M1" s="13" t="s">
        <v>175</v>
      </c>
      <c r="N1" s="13" t="s">
        <v>176</v>
      </c>
      <c r="O1" s="13" t="s">
        <v>177</v>
      </c>
      <c r="P1" s="13" t="s">
        <v>178</v>
      </c>
      <c r="Q1" s="13" t="s">
        <v>179</v>
      </c>
    </row>
    <row r="2" spans="1:17">
      <c r="A2" s="13" t="s">
        <v>180</v>
      </c>
      <c r="B2" s="13">
        <v>3.28</v>
      </c>
      <c r="C2" s="13">
        <v>4.37</v>
      </c>
      <c r="D2" s="13">
        <v>4.24</v>
      </c>
      <c r="E2" s="13">
        <v>4.21</v>
      </c>
      <c r="F2" s="13">
        <v>0.8</v>
      </c>
      <c r="G2" s="13">
        <v>19479</v>
      </c>
      <c r="H2" s="13" t="s">
        <v>181</v>
      </c>
      <c r="I2" s="13">
        <v>74</v>
      </c>
      <c r="J2" s="13">
        <v>6.57</v>
      </c>
      <c r="K2" s="13">
        <v>2.19</v>
      </c>
      <c r="L2" s="13">
        <v>1.22</v>
      </c>
      <c r="M2" s="13">
        <v>0.245</v>
      </c>
      <c r="N2" s="14">
        <v>0.79100000000000004</v>
      </c>
      <c r="O2" s="14">
        <v>0.46300000000000002</v>
      </c>
      <c r="P2" s="14">
        <v>0.13500000000000001</v>
      </c>
      <c r="Q2" s="13">
        <v>91.6</v>
      </c>
    </row>
    <row r="3" spans="1:17">
      <c r="A3" s="13" t="s">
        <v>182</v>
      </c>
      <c r="B3" s="13">
        <v>3.84</v>
      </c>
      <c r="C3" s="13">
        <v>3.37</v>
      </c>
      <c r="D3" s="13">
        <v>3.21</v>
      </c>
      <c r="E3" s="13">
        <v>3.54</v>
      </c>
      <c r="F3" s="13">
        <v>1.8</v>
      </c>
      <c r="G3" s="13">
        <v>16149</v>
      </c>
      <c r="H3" s="13" t="s">
        <v>183</v>
      </c>
      <c r="I3" s="13">
        <v>70.099999999999994</v>
      </c>
      <c r="J3" s="13">
        <v>9.98</v>
      </c>
      <c r="K3" s="13">
        <v>1.92</v>
      </c>
      <c r="L3" s="13">
        <v>1.02</v>
      </c>
      <c r="M3" s="13">
        <v>0.316</v>
      </c>
      <c r="N3" s="14">
        <v>0.73499999999999999</v>
      </c>
      <c r="O3" s="14">
        <v>0.42299999999999999</v>
      </c>
      <c r="P3" s="14">
        <v>0.108</v>
      </c>
      <c r="Q3" s="13">
        <v>92.9</v>
      </c>
    </row>
    <row r="4" spans="1:17">
      <c r="A4" s="13" t="s">
        <v>184</v>
      </c>
      <c r="B4" s="13">
        <v>3.18</v>
      </c>
      <c r="C4" s="13">
        <v>3.62</v>
      </c>
      <c r="D4" s="13">
        <v>3.84</v>
      </c>
      <c r="E4" s="13">
        <v>4.26</v>
      </c>
      <c r="F4" s="13">
        <v>0.4</v>
      </c>
      <c r="G4" s="13">
        <v>11490</v>
      </c>
      <c r="H4" s="13" t="s">
        <v>185</v>
      </c>
      <c r="I4" s="13">
        <v>28.1</v>
      </c>
      <c r="J4" s="13">
        <v>7.62</v>
      </c>
      <c r="K4" s="13">
        <v>3.18</v>
      </c>
      <c r="L4" s="13">
        <v>0.64</v>
      </c>
      <c r="M4" s="13">
        <v>0.26800000000000002</v>
      </c>
      <c r="N4" s="14">
        <v>0.79500000000000004</v>
      </c>
      <c r="O4" s="14">
        <v>0.56000000000000005</v>
      </c>
      <c r="P4" s="14">
        <v>9.0999999999999998E-2</v>
      </c>
      <c r="Q4" s="13">
        <v>90.3</v>
      </c>
    </row>
    <row r="5" spans="1:17">
      <c r="A5" s="13" t="s">
        <v>186</v>
      </c>
      <c r="B5" s="13">
        <v>4.22</v>
      </c>
      <c r="C5" s="13">
        <v>3.6</v>
      </c>
      <c r="D5" s="13">
        <v>4.51</v>
      </c>
      <c r="E5" s="13">
        <v>3.95</v>
      </c>
      <c r="F5" s="13">
        <v>0.4</v>
      </c>
      <c r="G5" s="13">
        <v>2233</v>
      </c>
      <c r="H5" s="13" t="s">
        <v>187</v>
      </c>
      <c r="I5" s="13">
        <v>59.2</v>
      </c>
      <c r="J5" s="13">
        <v>8.6</v>
      </c>
      <c r="K5" s="13">
        <v>2.87</v>
      </c>
      <c r="L5" s="13">
        <v>1.51</v>
      </c>
      <c r="M5" s="13">
        <v>0.27200000000000002</v>
      </c>
      <c r="N5" s="14">
        <v>0.75800000000000001</v>
      </c>
      <c r="O5" s="14">
        <v>0.47399999999999998</v>
      </c>
      <c r="P5" s="14">
        <v>0.17899999999999999</v>
      </c>
      <c r="Q5" s="13">
        <v>89.8</v>
      </c>
    </row>
    <row r="6" spans="1:17">
      <c r="A6" s="13" t="s">
        <v>188</v>
      </c>
      <c r="B6" s="13">
        <v>3.62</v>
      </c>
      <c r="C6" s="13">
        <v>3.83</v>
      </c>
      <c r="D6" s="13">
        <v>3.92</v>
      </c>
      <c r="E6" s="13">
        <v>3.33</v>
      </c>
      <c r="F6" s="13">
        <v>0.8</v>
      </c>
      <c r="G6" s="13">
        <v>17859</v>
      </c>
      <c r="H6" s="13" t="s">
        <v>189</v>
      </c>
      <c r="I6" s="13">
        <v>54.2</v>
      </c>
      <c r="J6" s="13">
        <v>9.5500000000000007</v>
      </c>
      <c r="K6" s="13">
        <v>1.81</v>
      </c>
      <c r="L6" s="13">
        <v>1.48</v>
      </c>
      <c r="M6" s="13">
        <v>0.22700000000000001</v>
      </c>
      <c r="N6" s="14">
        <v>0.76700000000000002</v>
      </c>
      <c r="O6" s="14">
        <v>0.45700000000000002</v>
      </c>
      <c r="P6" s="14">
        <v>0.184</v>
      </c>
      <c r="Q6" s="13">
        <v>93.9</v>
      </c>
    </row>
    <row r="7" spans="1:17">
      <c r="A7" s="13" t="s">
        <v>190</v>
      </c>
      <c r="B7" s="13">
        <v>4.07</v>
      </c>
      <c r="C7" s="13"/>
      <c r="D7" s="13">
        <v>4.9000000000000004</v>
      </c>
      <c r="E7" s="13">
        <v>3.86</v>
      </c>
      <c r="F7" s="13">
        <v>0.1</v>
      </c>
      <c r="G7" s="13">
        <v>12718</v>
      </c>
      <c r="H7" s="13" t="s">
        <v>191</v>
      </c>
      <c r="I7" s="13">
        <v>48.2</v>
      </c>
      <c r="J7" s="13">
        <v>7.77</v>
      </c>
      <c r="K7" s="13">
        <v>3.88</v>
      </c>
      <c r="L7" s="13">
        <v>1.48</v>
      </c>
      <c r="M7" s="13">
        <v>0.25800000000000001</v>
      </c>
      <c r="N7" s="14">
        <v>0.73899999999999999</v>
      </c>
      <c r="O7" s="14">
        <v>0.57999999999999996</v>
      </c>
      <c r="P7" s="14">
        <v>0.25800000000000001</v>
      </c>
      <c r="Q7" s="13">
        <v>93.9</v>
      </c>
    </row>
    <row r="8" spans="1:17">
      <c r="A8" s="13" t="s">
        <v>192</v>
      </c>
      <c r="B8" s="13">
        <v>3.78</v>
      </c>
      <c r="C8" s="13">
        <v>3.57</v>
      </c>
      <c r="D8" s="13">
        <v>2.2000000000000002</v>
      </c>
      <c r="E8" s="13">
        <v>2.44</v>
      </c>
      <c r="F8" s="13">
        <v>1.1000000000000001</v>
      </c>
      <c r="G8" s="13">
        <v>6562</v>
      </c>
      <c r="H8" s="13" t="s">
        <v>193</v>
      </c>
      <c r="I8" s="13">
        <v>33.1</v>
      </c>
      <c r="J8" s="13">
        <v>11.61</v>
      </c>
      <c r="K8" s="13">
        <v>3.24</v>
      </c>
      <c r="L8" s="13">
        <v>0.27</v>
      </c>
      <c r="M8" s="13">
        <v>0.376</v>
      </c>
      <c r="N8" s="14">
        <v>0.65800000000000003</v>
      </c>
      <c r="O8" s="14">
        <v>0.56499999999999995</v>
      </c>
      <c r="P8" s="14">
        <v>8.3000000000000004E-2</v>
      </c>
      <c r="Q8" s="13">
        <v>93</v>
      </c>
    </row>
    <row r="9" spans="1:17">
      <c r="A9" s="13" t="s">
        <v>194</v>
      </c>
      <c r="B9" s="13">
        <v>3.48</v>
      </c>
      <c r="C9" s="13">
        <v>3.81</v>
      </c>
      <c r="D9" s="13">
        <v>3.68</v>
      </c>
      <c r="E9" s="13">
        <v>3.3</v>
      </c>
      <c r="F9" s="13">
        <v>0.7</v>
      </c>
      <c r="G9" s="13">
        <v>13781</v>
      </c>
      <c r="H9" s="13" t="s">
        <v>185</v>
      </c>
      <c r="I9" s="13">
        <v>51.2</v>
      </c>
      <c r="J9" s="13">
        <v>9.06</v>
      </c>
      <c r="K9" s="13">
        <v>2.61</v>
      </c>
      <c r="L9" s="13">
        <v>1.05</v>
      </c>
      <c r="M9" s="13">
        <v>0.27800000000000002</v>
      </c>
      <c r="N9" s="14">
        <v>0.77900000000000003</v>
      </c>
      <c r="O9" s="14">
        <v>0.56200000000000006</v>
      </c>
      <c r="P9" s="14">
        <v>0.17599999999999999</v>
      </c>
      <c r="Q9" s="13"/>
    </row>
    <row r="10" spans="1:17">
      <c r="A10" s="13" t="s">
        <v>195</v>
      </c>
      <c r="B10" s="13">
        <v>4.76</v>
      </c>
      <c r="C10" s="13">
        <v>4.46</v>
      </c>
      <c r="D10" s="13">
        <v>4.0599999999999996</v>
      </c>
      <c r="E10" s="13">
        <v>3.66</v>
      </c>
      <c r="F10" s="13">
        <v>0.7</v>
      </c>
      <c r="G10" s="13">
        <v>15423</v>
      </c>
      <c r="H10" s="13" t="s">
        <v>193</v>
      </c>
      <c r="I10" s="13">
        <v>51</v>
      </c>
      <c r="J10" s="13">
        <v>10.94</v>
      </c>
      <c r="K10" s="13">
        <v>3</v>
      </c>
      <c r="L10" s="13">
        <v>1.59</v>
      </c>
      <c r="M10" s="13">
        <v>0.29799999999999999</v>
      </c>
      <c r="N10" s="14">
        <v>0.7</v>
      </c>
      <c r="O10" s="14">
        <v>0.33100000000000002</v>
      </c>
      <c r="P10" s="14">
        <v>0.161</v>
      </c>
      <c r="Q10" s="13">
        <v>92.1</v>
      </c>
    </row>
    <row r="11" spans="1:17">
      <c r="A11" s="13" t="s">
        <v>196</v>
      </c>
      <c r="B11" s="13">
        <v>3.56</v>
      </c>
      <c r="C11" s="13">
        <v>3.42</v>
      </c>
      <c r="D11" s="13">
        <v>3.84</v>
      </c>
      <c r="E11" s="13">
        <v>4.1399999999999997</v>
      </c>
      <c r="F11" s="13">
        <v>0.8</v>
      </c>
      <c r="G11" s="13">
        <v>13050</v>
      </c>
      <c r="H11" s="13" t="s">
        <v>185</v>
      </c>
      <c r="I11" s="13">
        <v>60.2</v>
      </c>
      <c r="J11" s="13">
        <v>8.01</v>
      </c>
      <c r="K11" s="13">
        <v>2.97</v>
      </c>
      <c r="L11" s="13">
        <v>1.04</v>
      </c>
      <c r="M11" s="13">
        <v>0.254</v>
      </c>
      <c r="N11" s="14">
        <v>0.76400000000000001</v>
      </c>
      <c r="O11" s="14">
        <v>0.49099999999999999</v>
      </c>
      <c r="P11" s="14">
        <v>0.111</v>
      </c>
      <c r="Q11" s="13">
        <v>94.2</v>
      </c>
    </row>
    <row r="12" spans="1:17">
      <c r="A12" s="13" t="s">
        <v>197</v>
      </c>
      <c r="B12" s="13">
        <v>4.47</v>
      </c>
      <c r="C12" s="13">
        <v>4.5199999999999996</v>
      </c>
      <c r="D12" s="13">
        <v>4.4400000000000004</v>
      </c>
      <c r="E12" s="13">
        <v>4.58</v>
      </c>
      <c r="F12" s="13">
        <v>0.7</v>
      </c>
      <c r="G12" s="13">
        <v>15488</v>
      </c>
      <c r="H12" s="13" t="s">
        <v>198</v>
      </c>
      <c r="I12" s="13">
        <v>58.1</v>
      </c>
      <c r="J12" s="13">
        <v>5.25</v>
      </c>
      <c r="K12" s="13">
        <v>2.4700000000000002</v>
      </c>
      <c r="L12" s="13">
        <v>0.93</v>
      </c>
      <c r="M12" s="13">
        <v>0.308</v>
      </c>
      <c r="N12" s="14">
        <v>0.67800000000000005</v>
      </c>
      <c r="O12" s="14">
        <v>0.53</v>
      </c>
      <c r="P12" s="14">
        <v>0.12</v>
      </c>
      <c r="Q12" s="13">
        <v>94.5</v>
      </c>
    </row>
    <row r="13" spans="1:17">
      <c r="A13" s="13" t="s">
        <v>199</v>
      </c>
      <c r="B13" s="13">
        <v>4.55</v>
      </c>
      <c r="C13" s="13">
        <v>3.65</v>
      </c>
      <c r="D13" s="13">
        <v>4.29</v>
      </c>
      <c r="E13" s="13">
        <v>3.9</v>
      </c>
      <c r="F13" s="13">
        <v>0.7</v>
      </c>
      <c r="G13" s="13">
        <v>16561</v>
      </c>
      <c r="H13" s="13" t="s">
        <v>198</v>
      </c>
      <c r="I13" s="13">
        <v>57.1</v>
      </c>
      <c r="J13" s="13">
        <v>9.42</v>
      </c>
      <c r="K13" s="13">
        <v>3.61</v>
      </c>
      <c r="L13" s="13">
        <v>1.41</v>
      </c>
      <c r="M13" s="13">
        <v>0.248</v>
      </c>
      <c r="N13" s="14">
        <v>0.60299999999999998</v>
      </c>
      <c r="O13" s="14">
        <v>0.45200000000000001</v>
      </c>
      <c r="P13" s="14">
        <v>0.16400000000000001</v>
      </c>
      <c r="Q13" s="13">
        <v>92.1</v>
      </c>
    </row>
    <row r="14" spans="1:17">
      <c r="A14" s="13" t="s">
        <v>200</v>
      </c>
      <c r="B14" s="13">
        <v>5.55</v>
      </c>
      <c r="C14" s="13">
        <v>4.93</v>
      </c>
      <c r="D14" s="13">
        <v>4.41</v>
      </c>
      <c r="E14" s="13">
        <v>3.59</v>
      </c>
      <c r="F14" s="13">
        <v>0.4</v>
      </c>
      <c r="G14" s="13">
        <v>13543</v>
      </c>
      <c r="H14" s="13" t="s">
        <v>201</v>
      </c>
      <c r="I14" s="13">
        <v>47</v>
      </c>
      <c r="J14" s="13">
        <v>13.4</v>
      </c>
      <c r="K14" s="13">
        <v>5.94</v>
      </c>
      <c r="L14" s="13">
        <v>1.53</v>
      </c>
      <c r="M14" s="13">
        <v>0.33300000000000002</v>
      </c>
      <c r="N14" s="14">
        <v>0.71</v>
      </c>
      <c r="O14" s="14">
        <v>0.44800000000000001</v>
      </c>
      <c r="P14" s="14">
        <v>0.21099999999999999</v>
      </c>
      <c r="Q14" s="13">
        <v>95.6</v>
      </c>
    </row>
    <row r="15" spans="1:17">
      <c r="A15" s="13" t="s">
        <v>202</v>
      </c>
      <c r="B15" s="13">
        <v>5.68</v>
      </c>
      <c r="C15" s="13">
        <v>6.55</v>
      </c>
      <c r="D15" s="13">
        <v>4.7699999999999996</v>
      </c>
      <c r="E15" s="13">
        <v>4.34</v>
      </c>
      <c r="F15" s="13">
        <v>0.2</v>
      </c>
      <c r="G15" s="13">
        <v>15734</v>
      </c>
      <c r="H15" s="13" t="s">
        <v>203</v>
      </c>
      <c r="I15" s="13">
        <v>50.2</v>
      </c>
      <c r="J15" s="13">
        <v>8.17</v>
      </c>
      <c r="K15" s="13">
        <v>4.4400000000000004</v>
      </c>
      <c r="L15" s="13">
        <v>1.24</v>
      </c>
      <c r="M15" s="13">
        <v>0.35199999999999998</v>
      </c>
      <c r="N15" s="14">
        <v>0.66500000000000004</v>
      </c>
      <c r="O15" s="14">
        <v>0.50600000000000001</v>
      </c>
      <c r="P15" s="14">
        <v>0.17499999999999999</v>
      </c>
      <c r="Q15" s="13">
        <v>94.2</v>
      </c>
    </row>
    <row r="16" spans="1:17">
      <c r="A16" s="13" t="s">
        <v>204</v>
      </c>
      <c r="B16" s="13">
        <v>5.0599999999999996</v>
      </c>
      <c r="C16" s="13">
        <v>3.52</v>
      </c>
      <c r="D16" s="13">
        <v>3.51</v>
      </c>
      <c r="E16" s="13">
        <v>4.1900000000000004</v>
      </c>
      <c r="F16" s="13">
        <v>1</v>
      </c>
      <c r="G16" s="13">
        <v>25377</v>
      </c>
      <c r="H16" s="13" t="s">
        <v>203</v>
      </c>
      <c r="I16" s="13">
        <v>53.1</v>
      </c>
      <c r="J16" s="13">
        <v>9.2799999999999994</v>
      </c>
      <c r="K16" s="13">
        <v>3.38</v>
      </c>
      <c r="L16" s="13">
        <v>0.68</v>
      </c>
      <c r="M16" s="13">
        <v>0.32900000000000001</v>
      </c>
      <c r="N16" s="14">
        <v>0.61</v>
      </c>
      <c r="O16" s="14">
        <v>0.49099999999999999</v>
      </c>
      <c r="P16" s="14">
        <v>7.8E-2</v>
      </c>
      <c r="Q16" s="13"/>
    </row>
    <row r="17" spans="1:17">
      <c r="A17" s="13" t="s">
        <v>205</v>
      </c>
      <c r="B17" s="13">
        <v>1.27</v>
      </c>
      <c r="C17" s="13">
        <v>2.41</v>
      </c>
      <c r="D17" s="13">
        <v>2.15</v>
      </c>
      <c r="E17" s="13">
        <v>2.77</v>
      </c>
      <c r="F17" s="13">
        <v>2.5</v>
      </c>
      <c r="G17" s="13">
        <v>16162</v>
      </c>
      <c r="H17" s="13" t="s">
        <v>191</v>
      </c>
      <c r="I17" s="13">
        <v>71</v>
      </c>
      <c r="J17" s="13">
        <v>10.52</v>
      </c>
      <c r="K17" s="13">
        <v>2.0299999999999998</v>
      </c>
      <c r="L17" s="13">
        <v>0.38</v>
      </c>
      <c r="M17" s="13">
        <v>0.192</v>
      </c>
      <c r="N17" s="14">
        <v>0.85799999999999998</v>
      </c>
      <c r="O17" s="14">
        <v>0.46500000000000002</v>
      </c>
      <c r="P17" s="14">
        <v>6.3E-2</v>
      </c>
      <c r="Q17" s="13">
        <v>96.7</v>
      </c>
    </row>
    <row r="18" spans="1:17">
      <c r="A18" s="13" t="s">
        <v>206</v>
      </c>
      <c r="B18" s="13">
        <v>4.18</v>
      </c>
      <c r="C18" s="13">
        <v>8.14</v>
      </c>
      <c r="D18" s="13">
        <v>5.42</v>
      </c>
      <c r="E18" s="13">
        <v>4.4000000000000004</v>
      </c>
      <c r="F18" s="13">
        <v>-0.1</v>
      </c>
      <c r="G18" s="13">
        <v>8223</v>
      </c>
      <c r="H18" s="13" t="s">
        <v>191</v>
      </c>
      <c r="I18" s="13">
        <v>32.1</v>
      </c>
      <c r="J18" s="13">
        <v>5.57</v>
      </c>
      <c r="K18" s="13">
        <v>3.06</v>
      </c>
      <c r="L18" s="13">
        <v>1.67</v>
      </c>
      <c r="M18" s="13">
        <v>0.28599999999999998</v>
      </c>
      <c r="N18" s="14">
        <v>0.78300000000000003</v>
      </c>
      <c r="O18" s="14">
        <v>0.54100000000000004</v>
      </c>
      <c r="P18" s="14">
        <v>0.23100000000000001</v>
      </c>
      <c r="Q18" s="13">
        <v>89.3</v>
      </c>
    </row>
    <row r="19" spans="1:17">
      <c r="A19" s="13" t="s">
        <v>207</v>
      </c>
      <c r="B19" s="13">
        <v>5.4</v>
      </c>
      <c r="C19" s="13"/>
      <c r="D19" s="13">
        <v>5.53</v>
      </c>
      <c r="E19" s="13">
        <v>4.53</v>
      </c>
      <c r="F19" s="13">
        <v>0</v>
      </c>
      <c r="G19" s="13">
        <v>20370</v>
      </c>
      <c r="H19" s="13" t="s">
        <v>208</v>
      </c>
      <c r="I19" s="13">
        <v>43.1</v>
      </c>
      <c r="J19" s="13">
        <v>7.68</v>
      </c>
      <c r="K19" s="13">
        <v>2.91</v>
      </c>
      <c r="L19" s="13">
        <v>2.08</v>
      </c>
      <c r="M19" s="13">
        <v>0.35599999999999998</v>
      </c>
      <c r="N19" s="14">
        <v>0.78300000000000003</v>
      </c>
      <c r="O19" s="14">
        <v>0.371</v>
      </c>
      <c r="P19" s="14">
        <v>0.2</v>
      </c>
      <c r="Q19" s="13">
        <v>91.7</v>
      </c>
    </row>
    <row r="20" spans="1:17">
      <c r="A20" s="13" t="s">
        <v>209</v>
      </c>
      <c r="B20" s="13">
        <v>4.38</v>
      </c>
      <c r="C20" s="13">
        <v>4.37</v>
      </c>
      <c r="D20" s="13">
        <v>5.93</v>
      </c>
      <c r="E20" s="13">
        <v>4.7300000000000004</v>
      </c>
      <c r="F20" s="13">
        <v>-0.1</v>
      </c>
      <c r="G20" s="13">
        <v>19990</v>
      </c>
      <c r="H20" s="13" t="s">
        <v>210</v>
      </c>
      <c r="I20" s="13">
        <v>24.2</v>
      </c>
      <c r="J20" s="13">
        <v>5.47</v>
      </c>
      <c r="K20" s="13">
        <v>2.5499999999999998</v>
      </c>
      <c r="L20" s="13">
        <v>2.19</v>
      </c>
      <c r="M20" s="13">
        <v>0.30299999999999999</v>
      </c>
      <c r="N20" s="14">
        <v>0.83299999999999996</v>
      </c>
      <c r="O20" s="14">
        <v>0.443</v>
      </c>
      <c r="P20" s="14">
        <v>0.214</v>
      </c>
      <c r="Q20" s="13">
        <v>93.6</v>
      </c>
    </row>
    <row r="21" spans="1:17">
      <c r="A21" s="13" t="s">
        <v>211</v>
      </c>
      <c r="B21" s="13">
        <v>5.83</v>
      </c>
      <c r="C21" s="13">
        <v>5.77</v>
      </c>
      <c r="D21" s="13">
        <v>4.26</v>
      </c>
      <c r="E21" s="13">
        <v>5.2</v>
      </c>
      <c r="F21" s="13">
        <v>0.6</v>
      </c>
      <c r="G21" s="13">
        <v>11682</v>
      </c>
      <c r="H21" s="13" t="s">
        <v>187</v>
      </c>
      <c r="I21" s="13">
        <v>54</v>
      </c>
      <c r="J21" s="13">
        <v>5.17</v>
      </c>
      <c r="K21" s="13">
        <v>3.33</v>
      </c>
      <c r="L21" s="13">
        <v>0.5</v>
      </c>
      <c r="M21" s="13">
        <v>0.25700000000000001</v>
      </c>
      <c r="N21" s="14">
        <v>0.55100000000000005</v>
      </c>
      <c r="O21" s="14">
        <v>0.49399999999999999</v>
      </c>
      <c r="P21" s="14">
        <v>5.8000000000000003E-2</v>
      </c>
      <c r="Q21" s="13">
        <v>93.9</v>
      </c>
    </row>
    <row r="22" spans="1:17">
      <c r="A22" s="13" t="s">
        <v>212</v>
      </c>
      <c r="B22" s="13">
        <v>1.98</v>
      </c>
      <c r="C22" s="13">
        <v>2.35</v>
      </c>
      <c r="D22" s="13">
        <v>2.62</v>
      </c>
      <c r="E22" s="13">
        <v>2.65</v>
      </c>
      <c r="F22" s="13">
        <v>1.8</v>
      </c>
      <c r="G22" s="13">
        <v>16137</v>
      </c>
      <c r="H22" s="13" t="s">
        <v>213</v>
      </c>
      <c r="I22" s="13">
        <v>54.2</v>
      </c>
      <c r="J22" s="13">
        <v>13.17</v>
      </c>
      <c r="K22" s="13">
        <v>2.14</v>
      </c>
      <c r="L22" s="13">
        <v>0.99</v>
      </c>
      <c r="M22" s="13">
        <v>0.23400000000000001</v>
      </c>
      <c r="N22" s="14">
        <v>0.88900000000000001</v>
      </c>
      <c r="O22" s="14">
        <v>0.42599999999999999</v>
      </c>
      <c r="P22" s="14">
        <v>0.13</v>
      </c>
      <c r="Q22" s="13">
        <v>95.5</v>
      </c>
    </row>
    <row r="23" spans="1:17">
      <c r="A23" s="13" t="s">
        <v>214</v>
      </c>
      <c r="B23" s="13">
        <v>3.28</v>
      </c>
      <c r="C23" s="13">
        <v>4.49</v>
      </c>
      <c r="D23" s="13">
        <v>4.4400000000000004</v>
      </c>
      <c r="E23" s="13">
        <v>4.2</v>
      </c>
      <c r="F23" s="13">
        <v>0.6</v>
      </c>
      <c r="G23" s="13">
        <v>20492</v>
      </c>
      <c r="H23" s="13" t="s">
        <v>215</v>
      </c>
      <c r="I23" s="13">
        <v>57.2</v>
      </c>
      <c r="J23" s="13">
        <v>7.34</v>
      </c>
      <c r="K23" s="13">
        <v>3.12</v>
      </c>
      <c r="L23" s="13">
        <v>1.0900000000000001</v>
      </c>
      <c r="M23" s="13">
        <v>0.24</v>
      </c>
      <c r="N23" s="14">
        <v>0.81399999999999995</v>
      </c>
      <c r="O23" s="14">
        <v>0.51300000000000001</v>
      </c>
      <c r="P23" s="14">
        <v>0.156</v>
      </c>
      <c r="Q23" s="13">
        <v>94.6</v>
      </c>
    </row>
    <row r="24" spans="1:17">
      <c r="A24" s="13" t="s">
        <v>216</v>
      </c>
      <c r="B24" s="13">
        <v>4.1100000000000003</v>
      </c>
      <c r="C24" s="13">
        <v>4.1100000000000003</v>
      </c>
      <c r="D24" s="13">
        <v>3.75</v>
      </c>
      <c r="E24" s="13">
        <v>3.3</v>
      </c>
      <c r="F24" s="13">
        <v>0.9</v>
      </c>
      <c r="G24" s="13">
        <v>4676</v>
      </c>
      <c r="H24" s="13" t="s">
        <v>210</v>
      </c>
      <c r="I24" s="13">
        <v>57</v>
      </c>
      <c r="J24" s="13">
        <v>10.58</v>
      </c>
      <c r="K24" s="13">
        <v>3.32</v>
      </c>
      <c r="L24" s="13">
        <v>1.1100000000000001</v>
      </c>
      <c r="M24" s="13">
        <v>0.308</v>
      </c>
      <c r="N24" s="14">
        <v>0.65500000000000003</v>
      </c>
      <c r="O24" s="14">
        <v>0.48</v>
      </c>
      <c r="P24" s="14">
        <v>0.184</v>
      </c>
      <c r="Q24" s="13">
        <v>95.3</v>
      </c>
    </row>
    <row r="25" spans="1:17">
      <c r="A25" s="13" t="s">
        <v>217</v>
      </c>
      <c r="B25" s="13">
        <v>6.96</v>
      </c>
      <c r="C25" s="13"/>
      <c r="D25" s="13">
        <v>6.1</v>
      </c>
      <c r="E25" s="13">
        <v>5.64</v>
      </c>
      <c r="F25" s="13">
        <v>-0.2</v>
      </c>
      <c r="G25" s="13">
        <v>6895</v>
      </c>
      <c r="H25" s="13" t="s">
        <v>183</v>
      </c>
      <c r="I25" s="13">
        <v>32.1</v>
      </c>
      <c r="J25" s="13">
        <v>7.24</v>
      </c>
      <c r="K25" s="13">
        <v>4.45</v>
      </c>
      <c r="L25" s="13">
        <v>1.95</v>
      </c>
      <c r="M25" s="13">
        <v>0.29299999999999998</v>
      </c>
      <c r="N25" s="14">
        <v>0.66400000000000003</v>
      </c>
      <c r="O25" s="14">
        <v>0.36499999999999999</v>
      </c>
      <c r="P25" s="14">
        <v>0.159</v>
      </c>
      <c r="Q25" s="13">
        <v>92.1</v>
      </c>
    </row>
    <row r="26" spans="1:17">
      <c r="A26" s="13" t="s">
        <v>218</v>
      </c>
      <c r="B26" s="13">
        <v>4.42</v>
      </c>
      <c r="C26" s="13"/>
      <c r="D26" s="13">
        <v>4.6900000000000004</v>
      </c>
      <c r="E26" s="13">
        <v>4.71</v>
      </c>
      <c r="F26" s="13">
        <v>0.3</v>
      </c>
      <c r="G26" s="13">
        <v>14663</v>
      </c>
      <c r="H26" s="13" t="s">
        <v>198</v>
      </c>
      <c r="I26" s="13">
        <v>36.200000000000003</v>
      </c>
      <c r="J26" s="13">
        <v>4.66</v>
      </c>
      <c r="K26" s="13">
        <v>2.21</v>
      </c>
      <c r="L26" s="13">
        <v>1.23</v>
      </c>
      <c r="M26" s="13">
        <v>0.28000000000000003</v>
      </c>
      <c r="N26" s="14">
        <v>0.73199999999999998</v>
      </c>
      <c r="O26" s="14">
        <v>0.40500000000000003</v>
      </c>
      <c r="P26" s="14">
        <v>0.13200000000000001</v>
      </c>
      <c r="Q26" s="13">
        <v>92</v>
      </c>
    </row>
    <row r="27" spans="1:17">
      <c r="A27" s="13" t="s">
        <v>219</v>
      </c>
      <c r="B27" s="13">
        <v>3.53</v>
      </c>
      <c r="C27" s="13">
        <v>2.97</v>
      </c>
      <c r="D27" s="13">
        <v>3</v>
      </c>
      <c r="E27" s="13">
        <v>3.63</v>
      </c>
      <c r="F27" s="13">
        <v>1.7</v>
      </c>
      <c r="G27" s="13">
        <v>12304</v>
      </c>
      <c r="H27" s="13" t="s">
        <v>220</v>
      </c>
      <c r="I27" s="13">
        <v>74</v>
      </c>
      <c r="J27" s="13">
        <v>9.73</v>
      </c>
      <c r="K27" s="13">
        <v>2.0699999999999998</v>
      </c>
      <c r="L27" s="13">
        <v>0.73</v>
      </c>
      <c r="M27" s="13">
        <v>0.28100000000000003</v>
      </c>
      <c r="N27" s="14">
        <v>0.72799999999999998</v>
      </c>
      <c r="O27" s="14">
        <v>0.434</v>
      </c>
      <c r="P27" s="14">
        <v>8.3000000000000004E-2</v>
      </c>
      <c r="Q27" s="13">
        <v>94</v>
      </c>
    </row>
    <row r="28" spans="1:17">
      <c r="A28" s="13" t="s">
        <v>221</v>
      </c>
      <c r="B28" s="13">
        <v>4.7</v>
      </c>
      <c r="C28" s="13">
        <v>4.5199999999999996</v>
      </c>
      <c r="D28" s="13">
        <v>4.03</v>
      </c>
      <c r="E28" s="13">
        <v>4.51</v>
      </c>
      <c r="F28" s="13">
        <v>0.7</v>
      </c>
      <c r="G28" s="13">
        <v>13896</v>
      </c>
      <c r="H28" s="13" t="s">
        <v>222</v>
      </c>
      <c r="I28" s="13">
        <v>53.2</v>
      </c>
      <c r="J28" s="13">
        <v>5.53</v>
      </c>
      <c r="K28" s="13">
        <v>1.84</v>
      </c>
      <c r="L28" s="13">
        <v>1.01</v>
      </c>
      <c r="M28" s="13">
        <v>0.33300000000000002</v>
      </c>
      <c r="N28" s="14">
        <v>0.7</v>
      </c>
      <c r="O28" s="14">
        <v>0.47</v>
      </c>
      <c r="P28" s="14">
        <v>0.1</v>
      </c>
      <c r="Q28" s="13">
        <v>92.6</v>
      </c>
    </row>
    <row r="29" spans="1:17">
      <c r="A29" s="13" t="s">
        <v>223</v>
      </c>
      <c r="B29" s="13">
        <v>4.24</v>
      </c>
      <c r="C29" s="13">
        <v>4.1399999999999997</v>
      </c>
      <c r="D29" s="13">
        <v>4.0599999999999996</v>
      </c>
      <c r="E29" s="13">
        <v>4.03</v>
      </c>
      <c r="F29" s="13">
        <v>0.5</v>
      </c>
      <c r="G29" s="13">
        <v>20099</v>
      </c>
      <c r="H29" s="13" t="s">
        <v>201</v>
      </c>
      <c r="I29" s="13">
        <v>46.2</v>
      </c>
      <c r="J29" s="13">
        <v>8.1</v>
      </c>
      <c r="K29" s="13">
        <v>2.31</v>
      </c>
      <c r="L29" s="13">
        <v>1.35</v>
      </c>
      <c r="M29" s="13">
        <v>0.26900000000000002</v>
      </c>
      <c r="N29" s="14">
        <v>0.61899999999999999</v>
      </c>
      <c r="O29" s="14">
        <v>0.432</v>
      </c>
      <c r="P29" s="14">
        <v>0.13500000000000001</v>
      </c>
      <c r="Q29" s="13">
        <v>94.9</v>
      </c>
    </row>
    <row r="30" spans="1:17">
      <c r="A30" s="13" t="s">
        <v>224</v>
      </c>
      <c r="B30" s="13">
        <v>3.33</v>
      </c>
      <c r="C30" s="13">
        <v>3.18</v>
      </c>
      <c r="D30" s="13">
        <v>3.06</v>
      </c>
      <c r="E30" s="13">
        <v>3.18</v>
      </c>
      <c r="F30" s="13">
        <v>1.8</v>
      </c>
      <c r="G30" s="13">
        <v>2036</v>
      </c>
      <c r="H30" s="13" t="s">
        <v>225</v>
      </c>
      <c r="I30" s="13">
        <v>70.099999999999994</v>
      </c>
      <c r="J30" s="13">
        <v>9.85</v>
      </c>
      <c r="K30" s="13">
        <v>1.66</v>
      </c>
      <c r="L30" s="13">
        <v>1.02</v>
      </c>
      <c r="M30" s="13">
        <v>0.26400000000000001</v>
      </c>
      <c r="N30" s="14">
        <v>0.73099999999999998</v>
      </c>
      <c r="O30" s="14">
        <v>0.47799999999999998</v>
      </c>
      <c r="P30" s="14">
        <v>0.123</v>
      </c>
      <c r="Q30" s="13">
        <v>90.9</v>
      </c>
    </row>
    <row r="31" spans="1:17">
      <c r="A31" s="13" t="s">
        <v>226</v>
      </c>
      <c r="B31" s="13">
        <v>2.95</v>
      </c>
      <c r="C31" s="13">
        <v>2.5099999999999998</v>
      </c>
      <c r="D31" s="13">
        <v>3.13</v>
      </c>
      <c r="E31" s="13">
        <v>4.26</v>
      </c>
      <c r="F31" s="13">
        <v>0.6</v>
      </c>
      <c r="G31" s="13">
        <v>18769</v>
      </c>
      <c r="H31" s="13" t="s">
        <v>227</v>
      </c>
      <c r="I31" s="13">
        <v>21.1</v>
      </c>
      <c r="J31" s="13">
        <v>8.02</v>
      </c>
      <c r="K31" s="13">
        <v>1.69</v>
      </c>
      <c r="L31" s="13">
        <v>0.84</v>
      </c>
      <c r="M31" s="13">
        <v>0.21099999999999999</v>
      </c>
      <c r="N31" s="14">
        <v>0.72399999999999998</v>
      </c>
      <c r="O31" s="14">
        <v>0.35099999999999998</v>
      </c>
      <c r="P31" s="14">
        <v>6.9000000000000006E-2</v>
      </c>
      <c r="Q31" s="13">
        <v>93.5</v>
      </c>
    </row>
    <row r="32" spans="1:17">
      <c r="A32" s="13" t="s">
        <v>228</v>
      </c>
      <c r="B32" s="13">
        <v>4.12</v>
      </c>
      <c r="C32" s="13">
        <v>4.43</v>
      </c>
      <c r="D32" s="13">
        <v>3.81</v>
      </c>
      <c r="E32" s="13">
        <v>4.5599999999999996</v>
      </c>
      <c r="F32" s="13">
        <v>0.9</v>
      </c>
      <c r="G32" s="13">
        <v>19244</v>
      </c>
      <c r="H32" s="13" t="s">
        <v>220</v>
      </c>
      <c r="I32" s="13">
        <v>63.1</v>
      </c>
      <c r="J32" s="13">
        <v>6.39</v>
      </c>
      <c r="K32" s="13">
        <v>1.56</v>
      </c>
      <c r="L32" s="13">
        <v>0.99</v>
      </c>
      <c r="M32" s="13">
        <v>0.29699999999999999</v>
      </c>
      <c r="N32" s="14">
        <v>0.71599999999999997</v>
      </c>
      <c r="O32" s="14">
        <v>0.35899999999999999</v>
      </c>
      <c r="P32" s="14">
        <v>8.7999999999999995E-2</v>
      </c>
      <c r="Q32" s="13">
        <v>91.1</v>
      </c>
    </row>
    <row r="33" spans="1:17">
      <c r="A33" s="13" t="s">
        <v>229</v>
      </c>
      <c r="B33" s="13">
        <v>2.2400000000000002</v>
      </c>
      <c r="C33" s="13">
        <v>1.45</v>
      </c>
      <c r="D33" s="13">
        <v>1.17</v>
      </c>
      <c r="E33" s="13">
        <v>1.82</v>
      </c>
      <c r="F33" s="13">
        <v>2.6</v>
      </c>
      <c r="G33" s="13">
        <v>19361</v>
      </c>
      <c r="H33" s="13" t="s">
        <v>191</v>
      </c>
      <c r="I33" s="13">
        <v>52.1</v>
      </c>
      <c r="J33" s="13">
        <v>13.93</v>
      </c>
      <c r="K33" s="13">
        <v>1.2</v>
      </c>
      <c r="L33" s="13">
        <v>0.34</v>
      </c>
      <c r="M33" s="13">
        <v>0.27900000000000003</v>
      </c>
      <c r="N33" s="14">
        <v>0.71399999999999997</v>
      </c>
      <c r="O33" s="14">
        <v>0.51900000000000002</v>
      </c>
      <c r="P33" s="14">
        <v>5.7000000000000002E-2</v>
      </c>
      <c r="Q33" s="13">
        <v>96.7</v>
      </c>
    </row>
    <row r="34" spans="1:17">
      <c r="A34" s="13" t="s">
        <v>230</v>
      </c>
      <c r="B34" s="13">
        <v>3.04</v>
      </c>
      <c r="C34" s="13">
        <v>3.6</v>
      </c>
      <c r="D34" s="13">
        <v>3.75</v>
      </c>
      <c r="E34" s="13">
        <v>4.1900000000000004</v>
      </c>
      <c r="F34" s="13">
        <v>0.9</v>
      </c>
      <c r="G34" s="13">
        <v>2429</v>
      </c>
      <c r="H34" s="13" t="s">
        <v>231</v>
      </c>
      <c r="I34" s="13">
        <v>53.1</v>
      </c>
      <c r="J34" s="13">
        <v>9.2799999999999994</v>
      </c>
      <c r="K34" s="13">
        <v>3.88</v>
      </c>
      <c r="L34" s="13">
        <v>0.84</v>
      </c>
      <c r="M34" s="13">
        <v>0.26900000000000002</v>
      </c>
      <c r="N34" s="14">
        <v>0.76700000000000002</v>
      </c>
      <c r="O34" s="14">
        <v>0.46400000000000002</v>
      </c>
      <c r="P34" s="14">
        <v>9.8000000000000004E-2</v>
      </c>
      <c r="Q34" s="13">
        <v>90.4</v>
      </c>
    </row>
    <row r="35" spans="1:17">
      <c r="A35" s="13" t="s">
        <v>232</v>
      </c>
      <c r="B35" s="13">
        <v>3.14</v>
      </c>
      <c r="C35" s="13"/>
      <c r="D35" s="13">
        <v>4.0999999999999996</v>
      </c>
      <c r="E35" s="13">
        <v>4.22</v>
      </c>
      <c r="F35" s="13">
        <v>0.6</v>
      </c>
      <c r="G35" s="13">
        <v>17606</v>
      </c>
      <c r="H35" s="13" t="s">
        <v>233</v>
      </c>
      <c r="I35" s="13">
        <v>48.2</v>
      </c>
      <c r="J35" s="13">
        <v>10.73</v>
      </c>
      <c r="K35" s="13">
        <v>3.88</v>
      </c>
      <c r="L35" s="13">
        <v>1.29</v>
      </c>
      <c r="M35" s="13">
        <v>0.21</v>
      </c>
      <c r="N35" s="14">
        <v>0.83299999999999996</v>
      </c>
      <c r="O35" s="14">
        <v>0.29499999999999998</v>
      </c>
      <c r="P35" s="14">
        <v>0.125</v>
      </c>
      <c r="Q35" s="13">
        <v>93.2</v>
      </c>
    </row>
    <row r="36" spans="1:17">
      <c r="A36" s="13" t="s">
        <v>234</v>
      </c>
      <c r="B36" s="13">
        <v>4.53</v>
      </c>
      <c r="C36" s="13">
        <v>6.15</v>
      </c>
      <c r="D36" s="13">
        <v>4.88</v>
      </c>
      <c r="E36" s="13">
        <v>4.41</v>
      </c>
      <c r="F36" s="13">
        <v>0.2</v>
      </c>
      <c r="G36" s="13">
        <v>9434</v>
      </c>
      <c r="H36" s="13" t="s">
        <v>213</v>
      </c>
      <c r="I36" s="13">
        <v>59.2</v>
      </c>
      <c r="J36" s="13">
        <v>4.53</v>
      </c>
      <c r="K36" s="13">
        <v>2.72</v>
      </c>
      <c r="L36" s="13">
        <v>1.21</v>
      </c>
      <c r="M36" s="13">
        <v>0.27500000000000002</v>
      </c>
      <c r="N36" s="14">
        <v>0.67300000000000004</v>
      </c>
      <c r="O36" s="14">
        <v>0.59499999999999997</v>
      </c>
      <c r="P36" s="14">
        <v>0.182</v>
      </c>
      <c r="Q36" s="13">
        <v>89</v>
      </c>
    </row>
    <row r="37" spans="1:17">
      <c r="A37" s="13" t="s">
        <v>235</v>
      </c>
      <c r="B37" s="13">
        <v>4.67</v>
      </c>
      <c r="C37" s="13">
        <v>4.17</v>
      </c>
      <c r="D37" s="13">
        <v>3</v>
      </c>
      <c r="E37" s="13">
        <v>3.26</v>
      </c>
      <c r="F37" s="13">
        <v>1.2</v>
      </c>
      <c r="G37" s="13">
        <v>19409</v>
      </c>
      <c r="H37" s="13" t="s">
        <v>236</v>
      </c>
      <c r="I37" s="13">
        <v>52</v>
      </c>
      <c r="J37" s="13">
        <v>9.52</v>
      </c>
      <c r="K37" s="13">
        <v>2.94</v>
      </c>
      <c r="L37" s="13">
        <v>0.69</v>
      </c>
      <c r="M37" s="13">
        <v>0.35599999999999998</v>
      </c>
      <c r="N37" s="14">
        <v>0.67300000000000004</v>
      </c>
      <c r="O37" s="14">
        <v>0.56599999999999995</v>
      </c>
      <c r="P37" s="14">
        <v>0.105</v>
      </c>
      <c r="Q37" s="13"/>
    </row>
    <row r="38" spans="1:17">
      <c r="A38" s="13" t="s">
        <v>237</v>
      </c>
      <c r="B38" s="13">
        <v>1.94</v>
      </c>
      <c r="C38" s="13">
        <v>3.62</v>
      </c>
      <c r="D38" s="13">
        <v>2.3199999999999998</v>
      </c>
      <c r="E38" s="13">
        <v>3.77</v>
      </c>
      <c r="F38" s="13">
        <v>1.6</v>
      </c>
      <c r="G38" s="13">
        <v>3542</v>
      </c>
      <c r="H38" s="13" t="s">
        <v>203</v>
      </c>
      <c r="I38" s="13">
        <v>41.2</v>
      </c>
      <c r="J38" s="13">
        <v>10.37</v>
      </c>
      <c r="K38" s="13">
        <v>2.59</v>
      </c>
      <c r="L38" s="13">
        <v>0.43</v>
      </c>
      <c r="M38" s="13">
        <v>0.30599999999999999</v>
      </c>
      <c r="N38" s="14">
        <v>0.81399999999999995</v>
      </c>
      <c r="O38" s="14">
        <v>0.309</v>
      </c>
      <c r="P38" s="14">
        <v>0.04</v>
      </c>
      <c r="Q38" s="13">
        <v>93.8</v>
      </c>
    </row>
    <row r="39" spans="1:17">
      <c r="A39" s="13" t="s">
        <v>238</v>
      </c>
      <c r="B39" s="13">
        <v>5.89</v>
      </c>
      <c r="C39" s="13">
        <v>5.8</v>
      </c>
      <c r="D39" s="13">
        <v>5.12</v>
      </c>
      <c r="E39" s="13">
        <v>3.69</v>
      </c>
      <c r="F39" s="13">
        <v>0</v>
      </c>
      <c r="G39" s="13">
        <v>20302</v>
      </c>
      <c r="H39" s="13" t="s">
        <v>239</v>
      </c>
      <c r="I39" s="13">
        <v>44.1</v>
      </c>
      <c r="J39" s="13">
        <v>9.9499999999999993</v>
      </c>
      <c r="K39" s="13">
        <v>4.0599999999999996</v>
      </c>
      <c r="L39" s="13">
        <v>1.83</v>
      </c>
      <c r="M39" s="13">
        <v>0.3</v>
      </c>
      <c r="N39" s="14">
        <v>0.63</v>
      </c>
      <c r="O39" s="14">
        <v>0.52100000000000002</v>
      </c>
      <c r="P39" s="14">
        <v>0.28999999999999998</v>
      </c>
      <c r="Q39" s="13">
        <v>92.6</v>
      </c>
    </row>
    <row r="40" spans="1:17">
      <c r="A40" s="13" t="s">
        <v>240</v>
      </c>
      <c r="B40" s="13">
        <v>6.87</v>
      </c>
      <c r="C40" s="13">
        <v>5.99</v>
      </c>
      <c r="D40" s="13">
        <v>6.21</v>
      </c>
      <c r="E40" s="13">
        <v>5.09</v>
      </c>
      <c r="F40" s="13">
        <v>-0.1</v>
      </c>
      <c r="G40" s="13">
        <v>19350</v>
      </c>
      <c r="H40" s="13" t="s">
        <v>208</v>
      </c>
      <c r="I40" s="13">
        <v>38</v>
      </c>
      <c r="J40" s="13">
        <v>8.76</v>
      </c>
      <c r="K40" s="13">
        <v>3.79</v>
      </c>
      <c r="L40" s="13">
        <v>2.61</v>
      </c>
      <c r="M40" s="13">
        <v>0.32700000000000001</v>
      </c>
      <c r="N40" s="14">
        <v>0.71399999999999997</v>
      </c>
      <c r="O40" s="14">
        <v>0.28299999999999997</v>
      </c>
      <c r="P40" s="14">
        <v>0.19</v>
      </c>
      <c r="Q40" s="13">
        <v>92.8</v>
      </c>
    </row>
    <row r="41" spans="1:17">
      <c r="A41" s="13" t="s">
        <v>241</v>
      </c>
      <c r="B41" s="13">
        <v>3.27</v>
      </c>
      <c r="C41" s="13">
        <v>3.75</v>
      </c>
      <c r="D41" s="13">
        <v>4.4400000000000004</v>
      </c>
      <c r="E41" s="13">
        <v>4.01</v>
      </c>
      <c r="F41" s="13">
        <v>0.5</v>
      </c>
      <c r="G41" s="13">
        <v>17149</v>
      </c>
      <c r="H41" s="13" t="s">
        <v>231</v>
      </c>
      <c r="I41" s="13">
        <v>55</v>
      </c>
      <c r="J41" s="13">
        <v>8.51</v>
      </c>
      <c r="K41" s="13">
        <v>1.64</v>
      </c>
      <c r="L41" s="13">
        <v>1.8</v>
      </c>
      <c r="M41" s="13">
        <v>0.245</v>
      </c>
      <c r="N41" s="14">
        <v>0.86899999999999999</v>
      </c>
      <c r="O41" s="14">
        <v>0.46200000000000002</v>
      </c>
      <c r="P41" s="14">
        <v>0.159</v>
      </c>
      <c r="Q41" s="13">
        <v>93.5</v>
      </c>
    </row>
    <row r="42" spans="1:17">
      <c r="A42" s="13" t="s">
        <v>242</v>
      </c>
      <c r="B42" s="13">
        <v>5.98</v>
      </c>
      <c r="C42" s="13">
        <v>5.99</v>
      </c>
      <c r="D42" s="13">
        <v>6.28</v>
      </c>
      <c r="E42" s="13">
        <v>4.72</v>
      </c>
      <c r="F42" s="13">
        <v>-0.5</v>
      </c>
      <c r="G42" s="13">
        <v>11760</v>
      </c>
      <c r="H42" s="13" t="s">
        <v>210</v>
      </c>
      <c r="I42" s="13">
        <v>46.2</v>
      </c>
      <c r="J42" s="13">
        <v>8.2899999999999991</v>
      </c>
      <c r="K42" s="13">
        <v>3.09</v>
      </c>
      <c r="L42" s="13">
        <v>2.7</v>
      </c>
      <c r="M42" s="13">
        <v>0.26200000000000001</v>
      </c>
      <c r="N42" s="14">
        <v>0.63900000000000001</v>
      </c>
      <c r="O42" s="14">
        <v>0.36899999999999999</v>
      </c>
      <c r="P42" s="14">
        <v>0.222</v>
      </c>
      <c r="Q42" s="13">
        <v>92.4</v>
      </c>
    </row>
    <row r="43" spans="1:17">
      <c r="A43" s="13" t="s">
        <v>243</v>
      </c>
      <c r="B43" s="13">
        <v>2.74</v>
      </c>
      <c r="C43" s="13">
        <v>2.97</v>
      </c>
      <c r="D43" s="13">
        <v>3.26</v>
      </c>
      <c r="E43" s="13">
        <v>1.75</v>
      </c>
      <c r="F43" s="13">
        <v>0.4</v>
      </c>
      <c r="G43" s="13">
        <v>19716</v>
      </c>
      <c r="H43" s="13" t="s">
        <v>225</v>
      </c>
      <c r="I43" s="13">
        <v>23</v>
      </c>
      <c r="J43" s="13">
        <v>13.7</v>
      </c>
      <c r="K43" s="13">
        <v>2.35</v>
      </c>
      <c r="L43" s="13">
        <v>1.57</v>
      </c>
      <c r="M43" s="13">
        <v>0.255</v>
      </c>
      <c r="N43" s="14">
        <v>0.86199999999999999</v>
      </c>
      <c r="O43" s="14">
        <v>0.56000000000000005</v>
      </c>
      <c r="P43" s="14">
        <v>0.4</v>
      </c>
      <c r="Q43" s="13">
        <v>98.8</v>
      </c>
    </row>
    <row r="44" spans="1:17">
      <c r="A44" s="13" t="s">
        <v>244</v>
      </c>
      <c r="B44" s="13">
        <v>6.49</v>
      </c>
      <c r="C44" s="13">
        <v>4</v>
      </c>
      <c r="D44" s="13">
        <v>5.0999999999999996</v>
      </c>
      <c r="E44" s="13">
        <v>4.05</v>
      </c>
      <c r="F44" s="13">
        <v>0.1</v>
      </c>
      <c r="G44" s="13">
        <v>12917</v>
      </c>
      <c r="H44" s="13" t="s">
        <v>193</v>
      </c>
      <c r="I44" s="13">
        <v>51.1</v>
      </c>
      <c r="J44" s="13">
        <v>9.2899999999999991</v>
      </c>
      <c r="K44" s="13">
        <v>2.63</v>
      </c>
      <c r="L44" s="13">
        <v>2.1</v>
      </c>
      <c r="M44" s="13">
        <v>0.29299999999999998</v>
      </c>
      <c r="N44" s="14">
        <v>0.60199999999999998</v>
      </c>
      <c r="O44" s="14">
        <v>0.40300000000000002</v>
      </c>
      <c r="P44" s="14">
        <v>0.20300000000000001</v>
      </c>
      <c r="Q44" s="13">
        <v>91.5</v>
      </c>
    </row>
    <row r="45" spans="1:17">
      <c r="A45" s="13" t="s">
        <v>245</v>
      </c>
      <c r="B45" s="13">
        <v>3.79</v>
      </c>
      <c r="C45" s="13">
        <v>3.45</v>
      </c>
      <c r="D45" s="13">
        <v>3.48</v>
      </c>
      <c r="E45" s="13">
        <v>4.1900000000000004</v>
      </c>
      <c r="F45" s="13">
        <v>1.3</v>
      </c>
      <c r="G45" s="13">
        <v>18525</v>
      </c>
      <c r="H45" s="13" t="s">
        <v>213</v>
      </c>
      <c r="I45" s="13">
        <v>54.2</v>
      </c>
      <c r="J45" s="13">
        <v>11.2</v>
      </c>
      <c r="K45" s="13">
        <v>4.45</v>
      </c>
      <c r="L45" s="13">
        <v>0.82</v>
      </c>
      <c r="M45" s="13">
        <v>0.311</v>
      </c>
      <c r="N45" s="14">
        <v>0.75700000000000001</v>
      </c>
      <c r="O45" s="14">
        <v>0.33100000000000002</v>
      </c>
      <c r="P45" s="14">
        <v>8.3000000000000004E-2</v>
      </c>
      <c r="Q45" s="13">
        <v>96.1</v>
      </c>
    </row>
    <row r="46" spans="1:17">
      <c r="A46" s="13" t="s">
        <v>246</v>
      </c>
      <c r="B46" s="13">
        <v>5.64</v>
      </c>
      <c r="C46" s="13">
        <v>3.6</v>
      </c>
      <c r="D46" s="13">
        <v>3.7</v>
      </c>
      <c r="E46" s="13">
        <v>3.34</v>
      </c>
      <c r="F46" s="13">
        <v>0.8</v>
      </c>
      <c r="G46" s="13">
        <v>13164</v>
      </c>
      <c r="H46" s="13" t="s">
        <v>247</v>
      </c>
      <c r="I46" s="13">
        <v>52.2</v>
      </c>
      <c r="J46" s="13">
        <v>9.91</v>
      </c>
      <c r="K46" s="13">
        <v>2.2200000000000002</v>
      </c>
      <c r="L46" s="13">
        <v>1.37</v>
      </c>
      <c r="M46" s="13">
        <v>0.374</v>
      </c>
      <c r="N46" s="14">
        <v>0.66900000000000004</v>
      </c>
      <c r="O46" s="14">
        <v>0.42199999999999999</v>
      </c>
      <c r="P46" s="14">
        <v>0.16300000000000001</v>
      </c>
      <c r="Q46" s="13">
        <v>92.7</v>
      </c>
    </row>
    <row r="47" spans="1:17">
      <c r="A47" s="13" t="s">
        <v>248</v>
      </c>
      <c r="B47" s="13">
        <v>4.3499999999999996</v>
      </c>
      <c r="C47" s="13">
        <v>4.3099999999999996</v>
      </c>
      <c r="D47" s="13">
        <v>4.41</v>
      </c>
      <c r="E47" s="13">
        <v>4.33</v>
      </c>
      <c r="F47" s="13">
        <v>0.4</v>
      </c>
      <c r="G47" s="13">
        <v>17425</v>
      </c>
      <c r="H47" s="13" t="s">
        <v>249</v>
      </c>
      <c r="I47" s="13">
        <v>39.1</v>
      </c>
      <c r="J47" s="13">
        <v>8.24</v>
      </c>
      <c r="K47" s="13">
        <v>4.12</v>
      </c>
      <c r="L47" s="13">
        <v>1.1399999999999999</v>
      </c>
      <c r="M47" s="13">
        <v>0.24299999999999999</v>
      </c>
      <c r="N47" s="14">
        <v>0.69799999999999995</v>
      </c>
      <c r="O47" s="14">
        <v>0.49099999999999999</v>
      </c>
      <c r="P47" s="14">
        <v>0.13900000000000001</v>
      </c>
      <c r="Q47" s="13"/>
    </row>
    <row r="48" spans="1:17">
      <c r="A48" s="13" t="s">
        <v>250</v>
      </c>
      <c r="B48" s="13">
        <v>4.45</v>
      </c>
      <c r="C48" s="13">
        <v>4.5199999999999996</v>
      </c>
      <c r="D48" s="13">
        <v>4.34</v>
      </c>
      <c r="E48" s="13">
        <v>4.1100000000000003</v>
      </c>
      <c r="F48" s="13">
        <v>0.5</v>
      </c>
      <c r="G48" s="13">
        <v>14309</v>
      </c>
      <c r="H48" s="13" t="s">
        <v>220</v>
      </c>
      <c r="I48" s="13">
        <v>58.2</v>
      </c>
      <c r="J48" s="13">
        <v>9.66</v>
      </c>
      <c r="K48" s="13">
        <v>2.61</v>
      </c>
      <c r="L48" s="13">
        <v>1.69</v>
      </c>
      <c r="M48" s="13">
        <v>0.32400000000000001</v>
      </c>
      <c r="N48" s="14">
        <v>0.74299999999999999</v>
      </c>
      <c r="O48" s="14">
        <v>0.36299999999999999</v>
      </c>
      <c r="P48" s="14">
        <v>0.14699999999999999</v>
      </c>
      <c r="Q48" s="13">
        <v>96.5</v>
      </c>
    </row>
    <row r="49" spans="1:17">
      <c r="A49" s="13" t="s">
        <v>251</v>
      </c>
      <c r="B49" s="13">
        <v>2.4700000000000002</v>
      </c>
      <c r="C49" s="13"/>
      <c r="D49" s="13">
        <v>3.06</v>
      </c>
      <c r="E49" s="13">
        <v>3.37</v>
      </c>
      <c r="F49" s="13">
        <v>1.5</v>
      </c>
      <c r="G49" s="13">
        <v>18679</v>
      </c>
      <c r="H49" s="13" t="s">
        <v>191</v>
      </c>
      <c r="I49" s="13">
        <v>54.2</v>
      </c>
      <c r="J49" s="13">
        <v>12.68</v>
      </c>
      <c r="K49" s="13">
        <v>3.46</v>
      </c>
      <c r="L49" s="13">
        <v>0.99</v>
      </c>
      <c r="M49" s="13">
        <v>0.19</v>
      </c>
      <c r="N49" s="14">
        <v>0.84099999999999997</v>
      </c>
      <c r="O49" s="14">
        <v>0.34300000000000003</v>
      </c>
      <c r="P49" s="14">
        <v>0.109</v>
      </c>
      <c r="Q49" s="13">
        <v>93.3</v>
      </c>
    </row>
    <row r="50" spans="1:17">
      <c r="A50" s="13" t="s">
        <v>252</v>
      </c>
      <c r="B50" s="13">
        <v>3.75</v>
      </c>
      <c r="C50" s="13">
        <v>4.7699999999999996</v>
      </c>
      <c r="D50" s="13">
        <v>4.03</v>
      </c>
      <c r="E50" s="13">
        <v>4.51</v>
      </c>
      <c r="F50" s="13">
        <v>0.8</v>
      </c>
      <c r="G50" s="13">
        <v>9784</v>
      </c>
      <c r="H50" s="13" t="s">
        <v>247</v>
      </c>
      <c r="I50" s="13">
        <v>60</v>
      </c>
      <c r="J50" s="13">
        <v>7.8</v>
      </c>
      <c r="K50" s="13">
        <v>4.5</v>
      </c>
      <c r="L50" s="13">
        <v>0.75</v>
      </c>
      <c r="M50" s="13">
        <v>0.318</v>
      </c>
      <c r="N50" s="14">
        <v>0.75900000000000001</v>
      </c>
      <c r="O50" s="14">
        <v>0.48899999999999999</v>
      </c>
      <c r="P50" s="14">
        <v>9.2999999999999999E-2</v>
      </c>
      <c r="Q50" s="13">
        <v>94.4</v>
      </c>
    </row>
    <row r="51" spans="1:17">
      <c r="A51" s="13" t="s">
        <v>253</v>
      </c>
      <c r="B51" s="13">
        <v>4.13</v>
      </c>
      <c r="C51" s="13">
        <v>4.03</v>
      </c>
      <c r="D51" s="13">
        <v>3.73</v>
      </c>
      <c r="E51" s="13">
        <v>3.73</v>
      </c>
      <c r="F51" s="13">
        <v>1.2</v>
      </c>
      <c r="G51" s="13">
        <v>15038</v>
      </c>
      <c r="H51" s="13" t="s">
        <v>198</v>
      </c>
      <c r="I51" s="13">
        <v>65.099999999999994</v>
      </c>
      <c r="J51" s="13">
        <v>9.51</v>
      </c>
      <c r="K51" s="13">
        <v>4.55</v>
      </c>
      <c r="L51" s="13">
        <v>0.83</v>
      </c>
      <c r="M51" s="13">
        <v>0.30199999999999999</v>
      </c>
      <c r="N51" s="14">
        <v>0.72599999999999998</v>
      </c>
      <c r="O51" s="14">
        <v>0.52300000000000002</v>
      </c>
      <c r="P51" s="14">
        <v>0.13300000000000001</v>
      </c>
      <c r="Q51" s="13">
        <v>95.2</v>
      </c>
    </row>
    <row r="52" spans="1:17">
      <c r="A52" s="13" t="s">
        <v>254</v>
      </c>
      <c r="B52" s="13">
        <v>1.78</v>
      </c>
      <c r="C52" s="13">
        <v>2.17</v>
      </c>
      <c r="D52" s="13">
        <v>1.73</v>
      </c>
      <c r="E52" s="13">
        <v>2.2799999999999998</v>
      </c>
      <c r="F52" s="13">
        <v>3</v>
      </c>
      <c r="G52" s="13">
        <v>13125</v>
      </c>
      <c r="H52" s="13" t="s">
        <v>231</v>
      </c>
      <c r="I52" s="13">
        <v>70.2</v>
      </c>
      <c r="J52" s="13">
        <v>12.35</v>
      </c>
      <c r="K52" s="13">
        <v>1.1499999999999999</v>
      </c>
      <c r="L52" s="13">
        <v>0.64</v>
      </c>
      <c r="M52" s="13">
        <v>0.29799999999999999</v>
      </c>
      <c r="N52" s="14">
        <v>0.84899999999999998</v>
      </c>
      <c r="O52" s="14">
        <v>0.45800000000000002</v>
      </c>
      <c r="P52" s="14">
        <v>8.3000000000000004E-2</v>
      </c>
      <c r="Q52" s="13">
        <v>97.5</v>
      </c>
    </row>
    <row r="53" spans="1:17">
      <c r="A53" s="13" t="s">
        <v>255</v>
      </c>
      <c r="B53" s="13">
        <v>5.26</v>
      </c>
      <c r="C53" s="13"/>
      <c r="D53" s="13">
        <v>5.39</v>
      </c>
      <c r="E53" s="13">
        <v>4.21</v>
      </c>
      <c r="F53" s="13">
        <v>0.1</v>
      </c>
      <c r="G53" s="13">
        <v>19867</v>
      </c>
      <c r="H53" s="13" t="s">
        <v>193</v>
      </c>
      <c r="I53" s="13">
        <v>37.200000000000003</v>
      </c>
      <c r="J53" s="13">
        <v>10.27</v>
      </c>
      <c r="K53" s="13">
        <v>4.3</v>
      </c>
      <c r="L53" s="13">
        <v>2.15</v>
      </c>
      <c r="M53" s="13">
        <v>0.29499999999999998</v>
      </c>
      <c r="N53" s="14">
        <v>0.755</v>
      </c>
      <c r="O53" s="14">
        <v>0.34</v>
      </c>
      <c r="P53" s="14">
        <v>0.214</v>
      </c>
      <c r="Q53" s="13">
        <v>93.9</v>
      </c>
    </row>
    <row r="54" spans="1:17">
      <c r="A54" s="13" t="s">
        <v>256</v>
      </c>
      <c r="B54" s="13">
        <v>3.09</v>
      </c>
      <c r="C54" s="13"/>
      <c r="D54" s="13">
        <v>3.75</v>
      </c>
      <c r="E54" s="13">
        <v>3.05</v>
      </c>
      <c r="F54" s="13">
        <v>0.7</v>
      </c>
      <c r="G54" s="13">
        <v>20468</v>
      </c>
      <c r="H54" s="13" t="s">
        <v>210</v>
      </c>
      <c r="I54" s="13">
        <v>43.2</v>
      </c>
      <c r="J54" s="13">
        <v>10.31</v>
      </c>
      <c r="K54" s="13">
        <v>2.27</v>
      </c>
      <c r="L54" s="13">
        <v>1.44</v>
      </c>
      <c r="M54" s="13">
        <v>0.26400000000000001</v>
      </c>
      <c r="N54" s="14">
        <v>0.83299999999999996</v>
      </c>
      <c r="O54" s="14">
        <v>0.46400000000000002</v>
      </c>
      <c r="P54" s="14">
        <v>0.2</v>
      </c>
      <c r="Q54" s="13">
        <v>96.9</v>
      </c>
    </row>
    <row r="55" spans="1:17">
      <c r="A55" s="13" t="s">
        <v>257</v>
      </c>
      <c r="B55" s="13">
        <v>2.62</v>
      </c>
      <c r="C55" s="13">
        <v>3.3</v>
      </c>
      <c r="D55" s="13">
        <v>2.89</v>
      </c>
      <c r="E55" s="13">
        <v>3.07</v>
      </c>
      <c r="F55" s="13">
        <v>1.3</v>
      </c>
      <c r="G55" s="13">
        <v>14444</v>
      </c>
      <c r="H55" s="13" t="s">
        <v>258</v>
      </c>
      <c r="I55" s="13">
        <v>58.1</v>
      </c>
      <c r="J55" s="13">
        <v>8.9499999999999993</v>
      </c>
      <c r="K55" s="13">
        <v>1.23</v>
      </c>
      <c r="L55" s="13">
        <v>0.93</v>
      </c>
      <c r="M55" s="13">
        <v>0.29399999999999998</v>
      </c>
      <c r="N55" s="14">
        <v>0.81699999999999995</v>
      </c>
      <c r="O55" s="14">
        <v>0.48199999999999998</v>
      </c>
      <c r="P55" s="14">
        <v>0.11799999999999999</v>
      </c>
      <c r="Q55" s="13">
        <v>89.3</v>
      </c>
    </row>
    <row r="56" spans="1:17">
      <c r="A56" s="13" t="s">
        <v>259</v>
      </c>
      <c r="B56" s="13">
        <v>3.27</v>
      </c>
      <c r="C56" s="13">
        <v>4.22</v>
      </c>
      <c r="D56" s="13">
        <v>3.66</v>
      </c>
      <c r="E56" s="13">
        <v>3.34</v>
      </c>
      <c r="F56" s="13">
        <v>0.9</v>
      </c>
      <c r="G56" s="13">
        <v>19951</v>
      </c>
      <c r="H56" s="13" t="s">
        <v>210</v>
      </c>
      <c r="I56" s="13">
        <v>55</v>
      </c>
      <c r="J56" s="13">
        <v>9.65</v>
      </c>
      <c r="K56" s="13">
        <v>3.6</v>
      </c>
      <c r="L56" s="13">
        <v>0.98</v>
      </c>
      <c r="M56" s="13">
        <v>0.28699999999999998</v>
      </c>
      <c r="N56" s="14">
        <v>0.81200000000000006</v>
      </c>
      <c r="O56" s="14">
        <v>0.53500000000000003</v>
      </c>
      <c r="P56" s="14">
        <v>0.17100000000000001</v>
      </c>
      <c r="Q56" s="13">
        <v>94.6</v>
      </c>
    </row>
    <row r="57" spans="1:17">
      <c r="A57" s="13" t="s">
        <v>260</v>
      </c>
      <c r="B57" s="13">
        <v>5.24</v>
      </c>
      <c r="C57" s="13">
        <v>4.43</v>
      </c>
      <c r="D57" s="13">
        <v>4.13</v>
      </c>
      <c r="E57" s="13">
        <v>5.22</v>
      </c>
      <c r="F57" s="13">
        <v>0.6</v>
      </c>
      <c r="G57" s="13">
        <v>7410</v>
      </c>
      <c r="H57" s="13" t="s">
        <v>261</v>
      </c>
      <c r="I57" s="13">
        <v>46.1</v>
      </c>
      <c r="J57" s="13">
        <v>6.8</v>
      </c>
      <c r="K57" s="13">
        <v>3.11</v>
      </c>
      <c r="L57" s="13">
        <v>0.97</v>
      </c>
      <c r="M57" s="13">
        <v>0.27500000000000002</v>
      </c>
      <c r="N57" s="14">
        <v>0.623</v>
      </c>
      <c r="O57" s="14">
        <v>0.36199999999999999</v>
      </c>
      <c r="P57" s="14">
        <v>7.4999999999999997E-2</v>
      </c>
      <c r="Q57" s="13">
        <v>90.7</v>
      </c>
    </row>
    <row r="58" spans="1:17">
      <c r="A58" s="13" t="s">
        <v>262</v>
      </c>
      <c r="B58" s="13">
        <v>2.9</v>
      </c>
      <c r="C58" s="13">
        <v>4.49</v>
      </c>
      <c r="D58" s="13">
        <v>3.7</v>
      </c>
      <c r="E58" s="13">
        <v>3.9</v>
      </c>
      <c r="F58" s="13">
        <v>1</v>
      </c>
      <c r="G58" s="13">
        <v>17479</v>
      </c>
      <c r="H58" s="13" t="s">
        <v>187</v>
      </c>
      <c r="I58" s="13">
        <v>62</v>
      </c>
      <c r="J58" s="13">
        <v>9.73</v>
      </c>
      <c r="K58" s="13">
        <v>2.9</v>
      </c>
      <c r="L58" s="13">
        <v>1.02</v>
      </c>
      <c r="M58" s="13">
        <v>0.23899999999999999</v>
      </c>
      <c r="N58" s="14">
        <v>0.71399999999999997</v>
      </c>
      <c r="O58" s="14">
        <v>0.36299999999999999</v>
      </c>
      <c r="P58" s="14">
        <v>0.11700000000000001</v>
      </c>
      <c r="Q58" s="13">
        <v>94.2</v>
      </c>
    </row>
    <row r="59" spans="1:17">
      <c r="A59" s="13" t="s">
        <v>263</v>
      </c>
      <c r="B59" s="13">
        <v>0.71</v>
      </c>
      <c r="C59" s="13">
        <v>1.52</v>
      </c>
      <c r="D59" s="13">
        <v>1.1000000000000001</v>
      </c>
      <c r="E59" s="13">
        <v>1.52</v>
      </c>
      <c r="F59" s="13">
        <v>2.8</v>
      </c>
      <c r="G59" s="13">
        <v>10954</v>
      </c>
      <c r="H59" s="13" t="s">
        <v>239</v>
      </c>
      <c r="I59" s="13">
        <v>51</v>
      </c>
      <c r="J59" s="13">
        <v>14.47</v>
      </c>
      <c r="K59" s="13">
        <v>1.24</v>
      </c>
      <c r="L59" s="13">
        <v>0.53</v>
      </c>
      <c r="M59" s="13">
        <v>0.218</v>
      </c>
      <c r="N59" s="14">
        <v>0.88700000000000001</v>
      </c>
      <c r="O59" s="14">
        <v>0.433</v>
      </c>
      <c r="P59" s="14">
        <v>8.5999999999999993E-2</v>
      </c>
      <c r="Q59" s="13">
        <v>99</v>
      </c>
    </row>
    <row r="60" spans="1:17">
      <c r="A60" s="13" t="s">
        <v>264</v>
      </c>
      <c r="B60" s="13">
        <v>4.41</v>
      </c>
      <c r="C60" s="13">
        <v>5.41</v>
      </c>
      <c r="D60" s="13">
        <v>5.17</v>
      </c>
      <c r="E60" s="13">
        <v>4.9800000000000004</v>
      </c>
      <c r="F60" s="13">
        <v>0</v>
      </c>
      <c r="G60" s="13">
        <v>4153</v>
      </c>
      <c r="H60" s="13" t="s">
        <v>189</v>
      </c>
      <c r="I60" s="13">
        <v>51</v>
      </c>
      <c r="J60" s="13">
        <v>7.24</v>
      </c>
      <c r="K60" s="13">
        <v>3.53</v>
      </c>
      <c r="L60" s="13">
        <v>1.59</v>
      </c>
      <c r="M60" s="13">
        <v>0.27800000000000002</v>
      </c>
      <c r="N60" s="14">
        <v>0.73299999999999998</v>
      </c>
      <c r="O60" s="14">
        <v>0.39400000000000002</v>
      </c>
      <c r="P60" s="14">
        <v>0.14499999999999999</v>
      </c>
      <c r="Q60" s="13"/>
    </row>
    <row r="61" spans="1:17">
      <c r="A61" s="13" t="s">
        <v>265</v>
      </c>
      <c r="B61" s="13">
        <v>4.37</v>
      </c>
      <c r="C61" s="13"/>
      <c r="D61" s="13">
        <v>3</v>
      </c>
      <c r="E61" s="13">
        <v>3.53</v>
      </c>
      <c r="F61" s="13">
        <v>0.6</v>
      </c>
      <c r="G61" s="13">
        <v>13619</v>
      </c>
      <c r="H61" s="13" t="s">
        <v>203</v>
      </c>
      <c r="I61" s="13">
        <v>22.2</v>
      </c>
      <c r="J61" s="13">
        <v>9.93</v>
      </c>
      <c r="K61" s="13">
        <v>2.78</v>
      </c>
      <c r="L61" s="13">
        <v>0.79</v>
      </c>
      <c r="M61" s="13">
        <v>0.33300000000000002</v>
      </c>
      <c r="N61" s="14">
        <v>0.64900000000000002</v>
      </c>
      <c r="O61" s="14">
        <v>0.41899999999999998</v>
      </c>
      <c r="P61" s="14">
        <v>9.0999999999999998E-2</v>
      </c>
      <c r="Q61" s="13">
        <v>90.8</v>
      </c>
    </row>
    <row r="62" spans="1:17">
      <c r="A62" s="13" t="s">
        <v>266</v>
      </c>
      <c r="B62" s="13">
        <v>2.95</v>
      </c>
      <c r="C62" s="13">
        <v>4.25</v>
      </c>
      <c r="D62" s="13">
        <v>4.45</v>
      </c>
      <c r="E62" s="13">
        <v>5.29</v>
      </c>
      <c r="F62" s="13">
        <v>0.2</v>
      </c>
      <c r="G62" s="13">
        <v>18331</v>
      </c>
      <c r="H62" s="13" t="s">
        <v>220</v>
      </c>
      <c r="I62" s="13">
        <v>21.1</v>
      </c>
      <c r="J62" s="13">
        <v>9.2799999999999994</v>
      </c>
      <c r="K62" s="13">
        <v>3.8</v>
      </c>
      <c r="L62" s="13">
        <v>1.27</v>
      </c>
      <c r="M62" s="13">
        <v>0.222</v>
      </c>
      <c r="N62" s="14">
        <v>0.872</v>
      </c>
      <c r="O62" s="14">
        <v>0.246</v>
      </c>
      <c r="P62" s="14">
        <v>9.0999999999999998E-2</v>
      </c>
      <c r="Q62" s="13">
        <v>93</v>
      </c>
    </row>
    <row r="63" spans="1:17">
      <c r="A63" s="13" t="s">
        <v>267</v>
      </c>
      <c r="B63" s="13">
        <v>5.0999999999999996</v>
      </c>
      <c r="C63" s="13">
        <v>3.83</v>
      </c>
      <c r="D63" s="13">
        <v>4.62</v>
      </c>
      <c r="E63" s="13">
        <v>4.22</v>
      </c>
      <c r="F63" s="13">
        <v>0.5</v>
      </c>
      <c r="G63" s="13">
        <v>11674</v>
      </c>
      <c r="H63" s="13" t="s">
        <v>231</v>
      </c>
      <c r="I63" s="13">
        <v>47.2</v>
      </c>
      <c r="J63" s="13">
        <v>10.38</v>
      </c>
      <c r="K63" s="13">
        <v>2.83</v>
      </c>
      <c r="L63" s="13">
        <v>1.89</v>
      </c>
      <c r="M63" s="13">
        <v>0.28899999999999998</v>
      </c>
      <c r="N63" s="14">
        <v>0.72899999999999998</v>
      </c>
      <c r="O63" s="14">
        <v>0.35099999999999998</v>
      </c>
      <c r="P63" s="14">
        <v>0.156</v>
      </c>
      <c r="Q63" s="13">
        <v>94</v>
      </c>
    </row>
    <row r="64" spans="1:17">
      <c r="A64" s="13" t="s">
        <v>268</v>
      </c>
      <c r="B64" s="13">
        <v>4.6100000000000003</v>
      </c>
      <c r="C64" s="13">
        <v>5.44</v>
      </c>
      <c r="D64" s="13">
        <v>4.62</v>
      </c>
      <c r="E64" s="13">
        <v>5.12</v>
      </c>
      <c r="F64" s="13">
        <v>0.3</v>
      </c>
      <c r="G64" s="13">
        <v>17432</v>
      </c>
      <c r="H64" s="13" t="s">
        <v>269</v>
      </c>
      <c r="I64" s="13">
        <v>41</v>
      </c>
      <c r="J64" s="13">
        <v>8.56</v>
      </c>
      <c r="K64" s="13">
        <v>5.93</v>
      </c>
      <c r="L64" s="13">
        <v>0.88</v>
      </c>
      <c r="M64" s="13">
        <v>0.29299999999999998</v>
      </c>
      <c r="N64" s="14">
        <v>0.68400000000000005</v>
      </c>
      <c r="O64" s="14">
        <v>0.35599999999999998</v>
      </c>
      <c r="P64" s="14">
        <v>9.5000000000000001E-2</v>
      </c>
      <c r="Q64" s="13">
        <v>93.9</v>
      </c>
    </row>
    <row r="65" spans="1:17">
      <c r="A65" s="13" t="s">
        <v>270</v>
      </c>
      <c r="B65" s="13">
        <v>5.79</v>
      </c>
      <c r="C65" s="13"/>
      <c r="D65" s="13">
        <v>4.5999999999999996</v>
      </c>
      <c r="E65" s="13">
        <v>4.5</v>
      </c>
      <c r="F65" s="13">
        <v>0.1</v>
      </c>
      <c r="G65" s="13">
        <v>19959</v>
      </c>
      <c r="H65" s="13" t="s">
        <v>220</v>
      </c>
      <c r="I65" s="13">
        <v>28</v>
      </c>
      <c r="J65" s="13">
        <v>9.64</v>
      </c>
      <c r="K65" s="13">
        <v>3.86</v>
      </c>
      <c r="L65" s="13">
        <v>1.61</v>
      </c>
      <c r="M65" s="13">
        <v>0.35</v>
      </c>
      <c r="N65" s="14">
        <v>0.63200000000000001</v>
      </c>
      <c r="O65" s="14">
        <v>0.40200000000000002</v>
      </c>
      <c r="P65" s="14">
        <v>0.13900000000000001</v>
      </c>
      <c r="Q65" s="13">
        <v>96.1</v>
      </c>
    </row>
    <row r="66" spans="1:17">
      <c r="A66" s="13" t="s">
        <v>271</v>
      </c>
      <c r="B66" s="13">
        <v>2.2599999999999998</v>
      </c>
      <c r="C66" s="13"/>
      <c r="D66" s="13">
        <v>2.78</v>
      </c>
      <c r="E66" s="13">
        <v>2.46</v>
      </c>
      <c r="F66" s="13">
        <v>1.6</v>
      </c>
      <c r="G66" s="13">
        <v>12970</v>
      </c>
      <c r="H66" s="13" t="s">
        <v>201</v>
      </c>
      <c r="I66" s="13">
        <v>55.2</v>
      </c>
      <c r="J66" s="13">
        <v>12.29</v>
      </c>
      <c r="K66" s="13">
        <v>1.94</v>
      </c>
      <c r="L66" s="13">
        <v>0.97</v>
      </c>
      <c r="M66" s="13">
        <v>0.23300000000000001</v>
      </c>
      <c r="N66" s="14">
        <v>0.82599999999999996</v>
      </c>
      <c r="O66" s="14">
        <v>0.496</v>
      </c>
      <c r="P66" s="14">
        <v>0.17100000000000001</v>
      </c>
      <c r="Q66" s="13">
        <v>93.5</v>
      </c>
    </row>
    <row r="67" spans="1:17">
      <c r="A67" s="13" t="s">
        <v>272</v>
      </c>
      <c r="B67" s="13">
        <v>5.4</v>
      </c>
      <c r="C67" s="13">
        <v>5.16</v>
      </c>
      <c r="D67" s="13">
        <v>5.49</v>
      </c>
      <c r="E67" s="13">
        <v>4.55</v>
      </c>
      <c r="F67" s="13">
        <v>0</v>
      </c>
      <c r="G67" s="13">
        <v>12972</v>
      </c>
      <c r="H67" s="13" t="s">
        <v>249</v>
      </c>
      <c r="I67" s="13">
        <v>48.1</v>
      </c>
      <c r="J67" s="13">
        <v>8.75</v>
      </c>
      <c r="K67" s="13">
        <v>4.0999999999999996</v>
      </c>
      <c r="L67" s="13">
        <v>1.86</v>
      </c>
      <c r="M67" s="13">
        <v>0.27700000000000002</v>
      </c>
      <c r="N67" s="14">
        <v>0.70699999999999996</v>
      </c>
      <c r="O67" s="14">
        <v>0.438</v>
      </c>
      <c r="P67" s="14">
        <v>0.20399999999999999</v>
      </c>
      <c r="Q67" s="13">
        <v>93.8</v>
      </c>
    </row>
    <row r="68" spans="1:17">
      <c r="A68" s="13" t="s">
        <v>273</v>
      </c>
      <c r="B68" s="13">
        <v>1.6</v>
      </c>
      <c r="C68" s="13">
        <v>5.13</v>
      </c>
      <c r="D68" s="13">
        <v>3.98</v>
      </c>
      <c r="E68" s="13">
        <v>5.0199999999999996</v>
      </c>
      <c r="F68" s="13">
        <v>0.7</v>
      </c>
      <c r="G68" s="13">
        <v>13684</v>
      </c>
      <c r="H68" s="13" t="s">
        <v>187</v>
      </c>
      <c r="I68" s="13">
        <v>50.2</v>
      </c>
      <c r="J68" s="13">
        <v>6.93</v>
      </c>
      <c r="K68" s="13">
        <v>6.04</v>
      </c>
      <c r="L68" s="13">
        <v>0.18</v>
      </c>
      <c r="M68" s="13">
        <v>0.28399999999999997</v>
      </c>
      <c r="N68" s="14">
        <v>0.86299999999999999</v>
      </c>
      <c r="O68" s="14">
        <v>0.48599999999999999</v>
      </c>
      <c r="P68" s="14">
        <v>2.5999999999999999E-2</v>
      </c>
      <c r="Q68" s="13">
        <v>91.5</v>
      </c>
    </row>
    <row r="69" spans="1:17">
      <c r="A69" s="13" t="s">
        <v>274</v>
      </c>
      <c r="B69" s="13">
        <v>2.0499999999999998</v>
      </c>
      <c r="C69" s="13">
        <v>3.47</v>
      </c>
      <c r="D69" s="13">
        <v>3.83</v>
      </c>
      <c r="E69" s="13">
        <v>3.91</v>
      </c>
      <c r="F69" s="13">
        <v>1.6</v>
      </c>
      <c r="G69" s="13">
        <v>16269</v>
      </c>
      <c r="H69" s="13" t="s">
        <v>208</v>
      </c>
      <c r="I69" s="13">
        <v>70.099999999999994</v>
      </c>
      <c r="J69" s="13">
        <v>8.6999999999999993</v>
      </c>
      <c r="K69" s="13">
        <v>1.66</v>
      </c>
      <c r="L69" s="13">
        <v>1.41</v>
      </c>
      <c r="M69" s="13">
        <v>0.188</v>
      </c>
      <c r="N69" s="14">
        <v>0.98599999999999999</v>
      </c>
      <c r="O69" s="14">
        <v>0.30599999999999999</v>
      </c>
      <c r="P69" s="14">
        <v>0.128</v>
      </c>
      <c r="Q69" s="13">
        <v>92.9</v>
      </c>
    </row>
    <row r="70" spans="1:17">
      <c r="A70" s="13" t="s">
        <v>275</v>
      </c>
      <c r="B70" s="13">
        <v>3.45</v>
      </c>
      <c r="C70" s="13">
        <v>4.17</v>
      </c>
      <c r="D70" s="13">
        <v>2.64</v>
      </c>
      <c r="E70" s="13">
        <v>3.73</v>
      </c>
      <c r="F70" s="13">
        <v>1.4</v>
      </c>
      <c r="G70" s="13">
        <v>6893</v>
      </c>
      <c r="H70" s="13" t="s">
        <v>185</v>
      </c>
      <c r="I70" s="13">
        <v>44.1</v>
      </c>
      <c r="J70" s="13">
        <v>7.31</v>
      </c>
      <c r="K70" s="13">
        <v>1.22</v>
      </c>
      <c r="L70" s="13">
        <v>0.41</v>
      </c>
      <c r="M70" s="13">
        <v>0.33600000000000002</v>
      </c>
      <c r="N70" s="14">
        <v>0.72799999999999998</v>
      </c>
      <c r="O70" s="14">
        <v>0.374</v>
      </c>
      <c r="P70" s="14">
        <v>4.7E-2</v>
      </c>
      <c r="Q70" s="13">
        <v>92.4</v>
      </c>
    </row>
    <row r="71" spans="1:17">
      <c r="A71" s="13" t="s">
        <v>276</v>
      </c>
      <c r="B71" s="13">
        <v>3.71</v>
      </c>
      <c r="C71" s="13">
        <v>3.57</v>
      </c>
      <c r="D71" s="13">
        <v>4.1100000000000003</v>
      </c>
      <c r="E71" s="13">
        <v>4.2699999999999996</v>
      </c>
      <c r="F71" s="13">
        <v>0.8</v>
      </c>
      <c r="G71" s="13">
        <v>14916</v>
      </c>
      <c r="H71" s="13" t="s">
        <v>198</v>
      </c>
      <c r="I71" s="13">
        <v>60.2</v>
      </c>
      <c r="J71" s="13">
        <v>7.42</v>
      </c>
      <c r="K71" s="13">
        <v>3.71</v>
      </c>
      <c r="L71" s="13">
        <v>0.89</v>
      </c>
      <c r="M71" s="13">
        <v>0.253</v>
      </c>
      <c r="N71" s="14">
        <v>0.65600000000000003</v>
      </c>
      <c r="O71" s="14">
        <v>0.51700000000000002</v>
      </c>
      <c r="P71" s="14">
        <v>0.11799999999999999</v>
      </c>
      <c r="Q71" s="13">
        <v>94.5</v>
      </c>
    </row>
    <row r="72" spans="1:17">
      <c r="A72" s="13" t="s">
        <v>277</v>
      </c>
      <c r="B72" s="13">
        <v>4.37</v>
      </c>
      <c r="C72" s="13">
        <v>4.17</v>
      </c>
      <c r="D72" s="13">
        <v>4.59</v>
      </c>
      <c r="E72" s="13">
        <v>4.6100000000000003</v>
      </c>
      <c r="F72" s="13">
        <v>0.3</v>
      </c>
      <c r="G72" s="13">
        <v>4930</v>
      </c>
      <c r="H72" s="13" t="s">
        <v>249</v>
      </c>
      <c r="I72" s="13">
        <v>35</v>
      </c>
      <c r="J72" s="13">
        <v>6.43</v>
      </c>
      <c r="K72" s="13">
        <v>3.09</v>
      </c>
      <c r="L72" s="13">
        <v>1.29</v>
      </c>
      <c r="M72" s="13">
        <v>0.311</v>
      </c>
      <c r="N72" s="14">
        <v>0.76700000000000002</v>
      </c>
      <c r="O72" s="14">
        <v>0.376</v>
      </c>
      <c r="P72" s="14">
        <v>0.13200000000000001</v>
      </c>
      <c r="Q72" s="13">
        <v>89.2</v>
      </c>
    </row>
    <row r="73" spans="1:17">
      <c r="A73" s="13" t="s">
        <v>278</v>
      </c>
      <c r="B73" s="13">
        <v>5.75</v>
      </c>
      <c r="C73" s="13">
        <v>5.44</v>
      </c>
      <c r="D73" s="13">
        <v>4.79</v>
      </c>
      <c r="E73" s="13">
        <v>4.54</v>
      </c>
      <c r="F73" s="13">
        <v>0.3</v>
      </c>
      <c r="G73" s="13">
        <v>7593</v>
      </c>
      <c r="H73" s="13" t="s">
        <v>236</v>
      </c>
      <c r="I73" s="13">
        <v>61</v>
      </c>
      <c r="J73" s="13">
        <v>7.97</v>
      </c>
      <c r="K73" s="13">
        <v>3.1</v>
      </c>
      <c r="L73" s="13">
        <v>1.62</v>
      </c>
      <c r="M73" s="13">
        <v>0.33300000000000002</v>
      </c>
      <c r="N73" s="14">
        <v>0.7</v>
      </c>
      <c r="O73" s="14">
        <v>0.36499999999999999</v>
      </c>
      <c r="P73" s="14">
        <v>0.14899999999999999</v>
      </c>
      <c r="Q73" s="13">
        <v>92.9</v>
      </c>
    </row>
    <row r="74" spans="1:17">
      <c r="A74" s="13" t="s">
        <v>279</v>
      </c>
      <c r="B74" s="13">
        <v>3.92</v>
      </c>
      <c r="C74" s="13">
        <v>3.75</v>
      </c>
      <c r="D74" s="13">
        <v>3.54</v>
      </c>
      <c r="E74" s="13">
        <v>3.81</v>
      </c>
      <c r="F74" s="13">
        <v>1.2</v>
      </c>
      <c r="G74" s="13">
        <v>16511</v>
      </c>
      <c r="H74" s="13" t="s">
        <v>231</v>
      </c>
      <c r="I74" s="13">
        <v>59.2</v>
      </c>
      <c r="J74" s="13">
        <v>8.9</v>
      </c>
      <c r="K74" s="13">
        <v>2.2599999999999998</v>
      </c>
      <c r="L74" s="13">
        <v>1.06</v>
      </c>
      <c r="M74" s="13">
        <v>0.28299999999999997</v>
      </c>
      <c r="N74" s="14">
        <v>0.69299999999999995</v>
      </c>
      <c r="O74" s="14">
        <v>0.41499999999999998</v>
      </c>
      <c r="P74" s="14">
        <v>0.113</v>
      </c>
      <c r="Q74" s="13">
        <v>93</v>
      </c>
    </row>
    <row r="75" spans="1:17">
      <c r="A75" s="13" t="s">
        <v>280</v>
      </c>
      <c r="B75" s="13">
        <v>5.29</v>
      </c>
      <c r="C75" s="13">
        <v>4.6100000000000003</v>
      </c>
      <c r="D75" s="13">
        <v>4.92</v>
      </c>
      <c r="E75" s="13">
        <v>4.01</v>
      </c>
      <c r="F75" s="13">
        <v>0.3</v>
      </c>
      <c r="G75" s="13">
        <v>14527</v>
      </c>
      <c r="H75" s="13" t="s">
        <v>208</v>
      </c>
      <c r="I75" s="13">
        <v>51</v>
      </c>
      <c r="J75" s="13">
        <v>9.18</v>
      </c>
      <c r="K75" s="13">
        <v>3.88</v>
      </c>
      <c r="L75" s="13">
        <v>1.59</v>
      </c>
      <c r="M75" s="13">
        <v>0.30399999999999999</v>
      </c>
      <c r="N75" s="14">
        <v>0.71399999999999997</v>
      </c>
      <c r="O75" s="14">
        <v>0.49299999999999999</v>
      </c>
      <c r="P75" s="14">
        <v>0.22</v>
      </c>
      <c r="Q75" s="13">
        <v>95.3</v>
      </c>
    </row>
    <row r="76" spans="1:17">
      <c r="A76" s="13" t="s">
        <v>281</v>
      </c>
      <c r="B76" s="13">
        <v>3.36</v>
      </c>
      <c r="C76" s="13">
        <v>4.68</v>
      </c>
      <c r="D76" s="13">
        <v>3.38</v>
      </c>
      <c r="E76" s="13">
        <v>3.34</v>
      </c>
      <c r="F76" s="13">
        <v>1.3</v>
      </c>
      <c r="G76" s="13">
        <v>14168</v>
      </c>
      <c r="H76" s="13" t="s">
        <v>261</v>
      </c>
      <c r="I76" s="13">
        <v>64.099999999999994</v>
      </c>
      <c r="J76" s="13">
        <v>9.65</v>
      </c>
      <c r="K76" s="13">
        <v>2.38</v>
      </c>
      <c r="L76" s="13">
        <v>0.98</v>
      </c>
      <c r="M76" s="13">
        <v>0.28599999999999998</v>
      </c>
      <c r="N76" s="14">
        <v>0.748</v>
      </c>
      <c r="O76" s="14">
        <v>0.41199999999999998</v>
      </c>
      <c r="P76" s="14">
        <v>0.13700000000000001</v>
      </c>
      <c r="Q76" s="13">
        <v>94.5</v>
      </c>
    </row>
    <row r="77" spans="1:17">
      <c r="A77" s="13" t="s">
        <v>282</v>
      </c>
      <c r="B77" s="13">
        <v>7.22</v>
      </c>
      <c r="C77" s="13">
        <v>5.16</v>
      </c>
      <c r="D77" s="13">
        <v>4.41</v>
      </c>
      <c r="E77" s="13">
        <v>3.92</v>
      </c>
      <c r="F77" s="13">
        <v>0.3</v>
      </c>
      <c r="G77" s="13">
        <v>11423</v>
      </c>
      <c r="H77" s="13" t="s">
        <v>193</v>
      </c>
      <c r="I77" s="13">
        <v>33.200000000000003</v>
      </c>
      <c r="J77" s="13">
        <v>13.37</v>
      </c>
      <c r="K77" s="13">
        <v>6.95</v>
      </c>
      <c r="L77" s="13">
        <v>1.34</v>
      </c>
      <c r="M77" s="13">
        <v>0.4</v>
      </c>
      <c r="N77" s="14">
        <v>0.58599999999999997</v>
      </c>
      <c r="O77" s="14">
        <v>0.40899999999999997</v>
      </c>
      <c r="P77" s="14">
        <v>0.17899999999999999</v>
      </c>
      <c r="Q77" s="13">
        <v>91.3</v>
      </c>
    </row>
    <row r="78" spans="1:17">
      <c r="A78" s="13" t="s">
        <v>283</v>
      </c>
      <c r="B78" s="13">
        <v>4.1399999999999997</v>
      </c>
      <c r="C78" s="13">
        <v>5.44</v>
      </c>
      <c r="D78" s="13">
        <v>3.83</v>
      </c>
      <c r="E78" s="13">
        <v>4.51</v>
      </c>
      <c r="F78" s="13">
        <v>0.9</v>
      </c>
      <c r="G78" s="13">
        <v>11589</v>
      </c>
      <c r="H78" s="13" t="s">
        <v>215</v>
      </c>
      <c r="I78" s="13">
        <v>54.1</v>
      </c>
      <c r="J78" s="13">
        <v>5.8</v>
      </c>
      <c r="K78" s="13">
        <v>3.64</v>
      </c>
      <c r="L78" s="13">
        <v>0.5</v>
      </c>
      <c r="M78" s="13">
        <v>0.30599999999999999</v>
      </c>
      <c r="N78" s="14">
        <v>0.69499999999999995</v>
      </c>
      <c r="O78" s="14">
        <v>0.54300000000000004</v>
      </c>
      <c r="P78" s="14">
        <v>6.8000000000000005E-2</v>
      </c>
      <c r="Q78" s="13">
        <v>94.9</v>
      </c>
    </row>
    <row r="79" spans="1:17">
      <c r="A79" s="13" t="s">
        <v>284</v>
      </c>
      <c r="B79" s="13">
        <v>3.02</v>
      </c>
      <c r="C79" s="13">
        <v>3.27</v>
      </c>
      <c r="D79" s="13">
        <v>3.67</v>
      </c>
      <c r="E79" s="13">
        <v>4.38</v>
      </c>
      <c r="F79" s="13">
        <v>1</v>
      </c>
      <c r="G79" s="13">
        <v>18413</v>
      </c>
      <c r="H79" s="13" t="s">
        <v>233</v>
      </c>
      <c r="I79" s="13">
        <v>50.2</v>
      </c>
      <c r="J79" s="13">
        <v>7.46</v>
      </c>
      <c r="K79" s="13">
        <v>1.78</v>
      </c>
      <c r="L79" s="13">
        <v>1.07</v>
      </c>
      <c r="M79" s="13">
        <v>0.24299999999999999</v>
      </c>
      <c r="N79" s="14">
        <v>0.79800000000000004</v>
      </c>
      <c r="O79" s="14">
        <v>0.30299999999999999</v>
      </c>
      <c r="P79" s="14">
        <v>9.0999999999999998E-2</v>
      </c>
      <c r="Q79" s="13">
        <v>92.6</v>
      </c>
    </row>
    <row r="80" spans="1:17">
      <c r="A80" s="13" t="s">
        <v>285</v>
      </c>
      <c r="B80" s="13">
        <v>1.69</v>
      </c>
      <c r="C80" s="13"/>
      <c r="D80" s="13">
        <v>3.56</v>
      </c>
      <c r="E80" s="13">
        <v>4</v>
      </c>
      <c r="F80" s="13">
        <v>0.3</v>
      </c>
      <c r="G80" s="13">
        <v>20418</v>
      </c>
      <c r="H80" s="13" t="s">
        <v>286</v>
      </c>
      <c r="I80" s="13">
        <v>21.1</v>
      </c>
      <c r="J80" s="13">
        <v>5.91</v>
      </c>
      <c r="K80" s="13">
        <v>2.95</v>
      </c>
      <c r="L80" s="13">
        <v>0.42</v>
      </c>
      <c r="M80" s="13">
        <v>0.158</v>
      </c>
      <c r="N80" s="14">
        <v>0.84299999999999997</v>
      </c>
      <c r="O80" s="14">
        <v>0.63800000000000001</v>
      </c>
      <c r="P80" s="14">
        <v>7.6999999999999999E-2</v>
      </c>
      <c r="Q80" s="13">
        <v>92.2</v>
      </c>
    </row>
    <row r="81" spans="1:17">
      <c r="A81" s="13" t="s">
        <v>287</v>
      </c>
      <c r="B81" s="13">
        <v>3.74</v>
      </c>
      <c r="C81" s="13">
        <v>4.22</v>
      </c>
      <c r="D81" s="13">
        <v>4.54</v>
      </c>
      <c r="E81" s="13">
        <v>3.6</v>
      </c>
      <c r="F81" s="13">
        <v>0.4</v>
      </c>
      <c r="G81" s="13">
        <v>17578</v>
      </c>
      <c r="H81" s="13" t="s">
        <v>288</v>
      </c>
      <c r="I81" s="13">
        <v>55.1</v>
      </c>
      <c r="J81" s="13">
        <v>9.11</v>
      </c>
      <c r="K81" s="13">
        <v>2.11</v>
      </c>
      <c r="L81" s="13">
        <v>1.63</v>
      </c>
      <c r="M81" s="13">
        <v>0.28499999999999998</v>
      </c>
      <c r="N81" s="14">
        <v>0.84699999999999998</v>
      </c>
      <c r="O81" s="14">
        <v>0.503</v>
      </c>
      <c r="P81" s="14">
        <v>0.222</v>
      </c>
      <c r="Q81" s="13">
        <v>93.2</v>
      </c>
    </row>
    <row r="82" spans="1:17">
      <c r="A82" s="13" t="s">
        <v>289</v>
      </c>
      <c r="B82" s="13">
        <v>3.61</v>
      </c>
      <c r="C82" s="13">
        <v>3.3</v>
      </c>
      <c r="D82" s="13">
        <v>2.99</v>
      </c>
      <c r="E82" s="13">
        <v>3.24</v>
      </c>
      <c r="F82" s="13">
        <v>1.7</v>
      </c>
      <c r="G82" s="13">
        <v>14765</v>
      </c>
      <c r="H82" s="13" t="s">
        <v>225</v>
      </c>
      <c r="I82" s="13">
        <v>67.099999999999994</v>
      </c>
      <c r="J82" s="13">
        <v>10.02</v>
      </c>
      <c r="K82" s="13">
        <v>1.2</v>
      </c>
      <c r="L82" s="13">
        <v>1.07</v>
      </c>
      <c r="M82" s="13">
        <v>0.27600000000000002</v>
      </c>
      <c r="N82" s="14">
        <v>0.68100000000000005</v>
      </c>
      <c r="O82" s="14">
        <v>0.40200000000000002</v>
      </c>
      <c r="P82" s="14">
        <v>0.114</v>
      </c>
      <c r="Q82" s="13">
        <v>94.1</v>
      </c>
    </row>
    <row r="83" spans="1:17">
      <c r="A83" s="13" t="s">
        <v>290</v>
      </c>
      <c r="B83" s="13">
        <v>3.18</v>
      </c>
      <c r="C83" s="13">
        <v>4.43</v>
      </c>
      <c r="D83" s="13">
        <v>4.57</v>
      </c>
      <c r="E83" s="13">
        <v>5.5</v>
      </c>
      <c r="F83" s="13">
        <v>0.4</v>
      </c>
      <c r="G83" s="13">
        <v>19268</v>
      </c>
      <c r="H83" s="13" t="s">
        <v>222</v>
      </c>
      <c r="I83" s="13">
        <v>45.1</v>
      </c>
      <c r="J83" s="13">
        <v>8.93</v>
      </c>
      <c r="K83" s="13">
        <v>5.36</v>
      </c>
      <c r="L83" s="13">
        <v>0.99</v>
      </c>
      <c r="M83" s="13">
        <v>0.19600000000000001</v>
      </c>
      <c r="N83" s="14">
        <v>0.82</v>
      </c>
      <c r="O83" s="14">
        <v>0.34200000000000003</v>
      </c>
      <c r="P83" s="14">
        <v>8.1000000000000003E-2</v>
      </c>
      <c r="Q83" s="13">
        <v>93.9</v>
      </c>
    </row>
    <row r="84" spans="1:17">
      <c r="A84" s="13" t="s">
        <v>291</v>
      </c>
      <c r="B84" s="13">
        <v>4.96</v>
      </c>
      <c r="C84" s="13">
        <v>5.84</v>
      </c>
      <c r="D84" s="13">
        <v>4.5</v>
      </c>
      <c r="E84" s="13">
        <v>4.83</v>
      </c>
      <c r="F84" s="13">
        <v>0.3</v>
      </c>
      <c r="G84" s="13">
        <v>17285</v>
      </c>
      <c r="H84" s="13" t="s">
        <v>222</v>
      </c>
      <c r="I84" s="13">
        <v>49</v>
      </c>
      <c r="J84" s="13">
        <v>6.43</v>
      </c>
      <c r="K84" s="13">
        <v>3.67</v>
      </c>
      <c r="L84" s="13">
        <v>0.92</v>
      </c>
      <c r="M84" s="13">
        <v>0.33300000000000002</v>
      </c>
      <c r="N84" s="14">
        <v>0.64900000000000002</v>
      </c>
      <c r="O84" s="14">
        <v>0.47099999999999997</v>
      </c>
      <c r="P84" s="14">
        <v>0.106</v>
      </c>
      <c r="Q84" s="13">
        <v>93.5</v>
      </c>
    </row>
    <row r="85" spans="1:17">
      <c r="A85" s="13" t="s">
        <v>292</v>
      </c>
      <c r="B85" s="13">
        <v>5.27</v>
      </c>
      <c r="C85" s="13">
        <v>4.9000000000000004</v>
      </c>
      <c r="D85" s="13">
        <v>5.03</v>
      </c>
      <c r="E85" s="13">
        <v>3.99</v>
      </c>
      <c r="F85" s="13">
        <v>0.1</v>
      </c>
      <c r="G85" s="13">
        <v>18498</v>
      </c>
      <c r="H85" s="13" t="s">
        <v>261</v>
      </c>
      <c r="I85" s="13">
        <v>42.2</v>
      </c>
      <c r="J85" s="13">
        <v>8.23</v>
      </c>
      <c r="K85" s="13">
        <v>2.3199999999999998</v>
      </c>
      <c r="L85" s="13">
        <v>1.9</v>
      </c>
      <c r="M85" s="13">
        <v>0.33600000000000002</v>
      </c>
      <c r="N85" s="14">
        <v>0.67400000000000004</v>
      </c>
      <c r="O85" s="14">
        <v>0.43</v>
      </c>
      <c r="P85" s="14">
        <v>0.214</v>
      </c>
      <c r="Q85" s="13">
        <v>91.2</v>
      </c>
    </row>
    <row r="86" spans="1:17">
      <c r="A86" s="13" t="s">
        <v>293</v>
      </c>
      <c r="B86" s="13">
        <v>1.4</v>
      </c>
      <c r="C86" s="13">
        <v>2.82</v>
      </c>
      <c r="D86" s="13">
        <v>2.2000000000000002</v>
      </c>
      <c r="E86" s="13">
        <v>3.05</v>
      </c>
      <c r="F86" s="13">
        <v>2.4</v>
      </c>
      <c r="G86" s="13">
        <v>14107</v>
      </c>
      <c r="H86" s="13" t="s">
        <v>185</v>
      </c>
      <c r="I86" s="13">
        <v>70.2</v>
      </c>
      <c r="J86" s="13">
        <v>10.57</v>
      </c>
      <c r="K86" s="13">
        <v>2.04</v>
      </c>
      <c r="L86" s="13">
        <v>0.51</v>
      </c>
      <c r="M86" s="13">
        <v>0.223</v>
      </c>
      <c r="N86" s="14">
        <v>0.89500000000000002</v>
      </c>
      <c r="O86" s="14">
        <v>0.42299999999999999</v>
      </c>
      <c r="P86" s="14">
        <v>6.2E-2</v>
      </c>
      <c r="Q86" s="13">
        <v>94.7</v>
      </c>
    </row>
    <row r="87" spans="1:17">
      <c r="A87" s="13" t="s">
        <v>294</v>
      </c>
      <c r="B87" s="13">
        <v>6.59</v>
      </c>
      <c r="C87" s="13">
        <v>8.7100000000000009</v>
      </c>
      <c r="D87" s="13">
        <v>6.59</v>
      </c>
      <c r="E87" s="13">
        <v>5.58</v>
      </c>
      <c r="F87" s="13">
        <v>-0.5</v>
      </c>
      <c r="G87" s="13">
        <v>27505</v>
      </c>
      <c r="H87" s="13" t="s">
        <v>236</v>
      </c>
      <c r="I87" s="13">
        <v>28.2</v>
      </c>
      <c r="J87" s="13">
        <v>5.34</v>
      </c>
      <c r="K87" s="13">
        <v>3.77</v>
      </c>
      <c r="L87" s="13">
        <v>2.2000000000000002</v>
      </c>
      <c r="M87" s="13">
        <v>0.28100000000000003</v>
      </c>
      <c r="N87" s="14">
        <v>0.66300000000000003</v>
      </c>
      <c r="O87" s="14">
        <v>0.40400000000000003</v>
      </c>
      <c r="P87" s="14">
        <v>0.19400000000000001</v>
      </c>
      <c r="Q87" s="13">
        <v>91.7</v>
      </c>
    </row>
    <row r="88" spans="1:17">
      <c r="A88" s="13" t="s">
        <v>295</v>
      </c>
      <c r="B88" s="13">
        <v>3.65</v>
      </c>
      <c r="C88" s="13">
        <v>4.68</v>
      </c>
      <c r="D88" s="13">
        <v>3.46</v>
      </c>
      <c r="E88" s="13">
        <v>4.18</v>
      </c>
      <c r="F88" s="13">
        <v>0.8</v>
      </c>
      <c r="G88" s="13">
        <v>27458</v>
      </c>
      <c r="H88" s="13" t="s">
        <v>187</v>
      </c>
      <c r="I88" s="13">
        <v>37</v>
      </c>
      <c r="J88" s="13">
        <v>8.0299999999999994</v>
      </c>
      <c r="K88" s="13">
        <v>2.92</v>
      </c>
      <c r="L88" s="13">
        <v>0.73</v>
      </c>
      <c r="M88" s="13">
        <v>0.31900000000000001</v>
      </c>
      <c r="N88" s="14">
        <v>0.71699999999999997</v>
      </c>
      <c r="O88" s="14">
        <v>0.42899999999999999</v>
      </c>
      <c r="P88" s="14">
        <v>7.9000000000000001E-2</v>
      </c>
      <c r="Q88" s="13">
        <v>89.2</v>
      </c>
    </row>
    <row r="89" spans="1:17">
      <c r="A89" s="13" t="s">
        <v>296</v>
      </c>
      <c r="B89" s="13">
        <v>2.2400000000000002</v>
      </c>
      <c r="C89" s="13">
        <v>3.2</v>
      </c>
      <c r="D89" s="13">
        <v>3.23</v>
      </c>
      <c r="E89" s="13">
        <v>4.0199999999999996</v>
      </c>
      <c r="F89" s="13">
        <v>1.2</v>
      </c>
      <c r="G89" s="13">
        <v>10123</v>
      </c>
      <c r="H89" s="13" t="s">
        <v>236</v>
      </c>
      <c r="I89" s="13">
        <v>60.1</v>
      </c>
      <c r="J89" s="13">
        <v>7.16</v>
      </c>
      <c r="K89" s="13">
        <v>2.83</v>
      </c>
      <c r="L89" s="13">
        <v>0.45</v>
      </c>
      <c r="M89" s="13">
        <v>0.23400000000000001</v>
      </c>
      <c r="N89" s="14">
        <v>0.79900000000000004</v>
      </c>
      <c r="O89" s="14">
        <v>0.52700000000000002</v>
      </c>
      <c r="P89" s="14">
        <v>0.06</v>
      </c>
      <c r="Q89" s="13">
        <v>93.6</v>
      </c>
    </row>
    <row r="90" spans="1:17">
      <c r="A90" s="13" t="s">
        <v>297</v>
      </c>
      <c r="B90" s="13">
        <v>4.62</v>
      </c>
      <c r="C90" s="13">
        <v>4.87</v>
      </c>
      <c r="D90" s="13">
        <v>5.51</v>
      </c>
      <c r="E90" s="13">
        <v>4.08</v>
      </c>
      <c r="F90" s="13">
        <v>-0.2</v>
      </c>
      <c r="G90" s="13">
        <v>12049</v>
      </c>
      <c r="H90" s="13" t="s">
        <v>189</v>
      </c>
      <c r="I90" s="13">
        <v>62.1</v>
      </c>
      <c r="J90" s="13">
        <v>7.36</v>
      </c>
      <c r="K90" s="13">
        <v>1.59</v>
      </c>
      <c r="L90" s="13">
        <v>2.31</v>
      </c>
      <c r="M90" s="13">
        <v>0.311</v>
      </c>
      <c r="N90" s="14">
        <v>0.79900000000000004</v>
      </c>
      <c r="O90" s="14">
        <v>0.435</v>
      </c>
      <c r="P90" s="14">
        <v>0.23200000000000001</v>
      </c>
      <c r="Q90" s="13">
        <v>87.3</v>
      </c>
    </row>
    <row r="91" spans="1:17">
      <c r="A91" s="13" t="s">
        <v>298</v>
      </c>
      <c r="B91" s="13">
        <v>1.37</v>
      </c>
      <c r="C91" s="13">
        <v>2.59</v>
      </c>
      <c r="D91" s="13">
        <v>2.87</v>
      </c>
      <c r="E91" s="13">
        <v>3.98</v>
      </c>
      <c r="F91" s="13">
        <v>1.6</v>
      </c>
      <c r="G91" s="13">
        <v>2520</v>
      </c>
      <c r="H91" s="13" t="s">
        <v>213</v>
      </c>
      <c r="I91" s="13">
        <v>52.2</v>
      </c>
      <c r="J91" s="13">
        <v>9.74</v>
      </c>
      <c r="K91" s="13">
        <v>2.56</v>
      </c>
      <c r="L91" s="13">
        <v>0.68</v>
      </c>
      <c r="M91" s="13">
        <v>0.222</v>
      </c>
      <c r="N91" s="14">
        <v>0.878</v>
      </c>
      <c r="O91" s="14">
        <v>0.32800000000000001</v>
      </c>
      <c r="P91" s="14">
        <v>6.3E-2</v>
      </c>
      <c r="Q91" s="13">
        <v>94.2</v>
      </c>
    </row>
    <row r="92" spans="1:17">
      <c r="A92" s="13" t="s">
        <v>299</v>
      </c>
      <c r="B92" s="13">
        <v>2.96</v>
      </c>
      <c r="C92" s="13">
        <v>3.55</v>
      </c>
      <c r="D92" s="13">
        <v>3.85</v>
      </c>
      <c r="E92" s="13">
        <v>3.86</v>
      </c>
      <c r="F92" s="13">
        <v>0.6</v>
      </c>
      <c r="G92" s="13">
        <v>14120</v>
      </c>
      <c r="H92" s="13" t="s">
        <v>233</v>
      </c>
      <c r="I92" s="13">
        <v>51.2</v>
      </c>
      <c r="J92" s="13">
        <v>10.28</v>
      </c>
      <c r="K92" s="13">
        <v>4.53</v>
      </c>
      <c r="L92" s="13">
        <v>0.87</v>
      </c>
      <c r="M92" s="13">
        <v>0.24199999999999999</v>
      </c>
      <c r="N92" s="14">
        <v>0.82499999999999996</v>
      </c>
      <c r="O92" s="14">
        <v>0.53600000000000003</v>
      </c>
      <c r="P92" s="14">
        <v>0.13200000000000001</v>
      </c>
      <c r="Q92" s="13">
        <v>93.4</v>
      </c>
    </row>
    <row r="93" spans="1:17">
      <c r="A93" s="13" t="s">
        <v>300</v>
      </c>
      <c r="B93" s="13">
        <v>3.94</v>
      </c>
      <c r="C93" s="13"/>
      <c r="D93" s="13">
        <v>3.32</v>
      </c>
      <c r="E93" s="13">
        <v>3.03</v>
      </c>
      <c r="F93" s="13">
        <v>0.9</v>
      </c>
      <c r="G93" s="13">
        <v>17995</v>
      </c>
      <c r="H93" s="13" t="s">
        <v>185</v>
      </c>
      <c r="I93" s="13">
        <v>48</v>
      </c>
      <c r="J93" s="13">
        <v>9.94</v>
      </c>
      <c r="K93" s="13">
        <v>3.19</v>
      </c>
      <c r="L93" s="13">
        <v>0.75</v>
      </c>
      <c r="M93" s="13">
        <v>0.33300000000000002</v>
      </c>
      <c r="N93" s="14">
        <v>0.71699999999999997</v>
      </c>
      <c r="O93" s="14">
        <v>0.57399999999999995</v>
      </c>
      <c r="P93" s="14">
        <v>0.182</v>
      </c>
      <c r="Q93" s="13">
        <v>93.3</v>
      </c>
    </row>
    <row r="94" spans="1:17">
      <c r="A94" s="13" t="s">
        <v>301</v>
      </c>
      <c r="B94" s="13">
        <v>3.73</v>
      </c>
      <c r="C94" s="13">
        <v>3.27</v>
      </c>
      <c r="D94" s="13">
        <v>3.87</v>
      </c>
      <c r="E94" s="13">
        <v>3.53</v>
      </c>
      <c r="F94" s="13">
        <v>1.1000000000000001</v>
      </c>
      <c r="G94" s="13">
        <v>15474</v>
      </c>
      <c r="H94" s="13" t="s">
        <v>213</v>
      </c>
      <c r="I94" s="13">
        <v>62.2</v>
      </c>
      <c r="J94" s="13">
        <v>11.2</v>
      </c>
      <c r="K94" s="13">
        <v>3.45</v>
      </c>
      <c r="L94" s="13">
        <v>1.44</v>
      </c>
      <c r="M94" s="13">
        <v>0.253</v>
      </c>
      <c r="N94" s="14">
        <v>0.73699999999999999</v>
      </c>
      <c r="O94" s="14">
        <v>0.36399999999999999</v>
      </c>
      <c r="P94" s="14">
        <v>0.159</v>
      </c>
      <c r="Q94" s="13">
        <v>93.8</v>
      </c>
    </row>
    <row r="95" spans="1:17">
      <c r="A95" s="13" t="s">
        <v>302</v>
      </c>
      <c r="B95" s="13">
        <v>7.22</v>
      </c>
      <c r="C95" s="13">
        <v>4.28</v>
      </c>
      <c r="D95" s="13">
        <v>4.78</v>
      </c>
      <c r="E95" s="13">
        <v>4.28</v>
      </c>
      <c r="F95" s="13">
        <v>0.3</v>
      </c>
      <c r="G95" s="13">
        <v>15689</v>
      </c>
      <c r="H95" s="13" t="s">
        <v>269</v>
      </c>
      <c r="I95" s="13">
        <v>52.1</v>
      </c>
      <c r="J95" s="13">
        <v>8.25</v>
      </c>
      <c r="K95" s="13">
        <v>3.96</v>
      </c>
      <c r="L95" s="13">
        <v>1.38</v>
      </c>
      <c r="M95" s="13">
        <v>0.371</v>
      </c>
      <c r="N95" s="14">
        <v>0.54200000000000004</v>
      </c>
      <c r="O95" s="14">
        <v>0.497</v>
      </c>
      <c r="P95" s="14">
        <v>0.17799999999999999</v>
      </c>
      <c r="Q95" s="13">
        <v>96.9</v>
      </c>
    </row>
    <row r="96" spans="1:17">
      <c r="A96" s="13" t="s">
        <v>303</v>
      </c>
      <c r="B96" s="13">
        <v>2.87</v>
      </c>
      <c r="C96" s="13"/>
      <c r="D96" s="13">
        <v>3.96</v>
      </c>
      <c r="E96" s="13">
        <v>4.09</v>
      </c>
      <c r="F96" s="13">
        <v>0.5</v>
      </c>
      <c r="G96" s="13">
        <v>23735</v>
      </c>
      <c r="H96" s="13" t="s">
        <v>233</v>
      </c>
      <c r="I96" s="13">
        <v>47</v>
      </c>
      <c r="J96" s="13">
        <v>10.15</v>
      </c>
      <c r="K96" s="13">
        <v>3.06</v>
      </c>
      <c r="L96" s="13">
        <v>1.34</v>
      </c>
      <c r="M96" s="13">
        <v>0.22500000000000001</v>
      </c>
      <c r="N96" s="14">
        <v>0.84599999999999997</v>
      </c>
      <c r="O96" s="14">
        <v>0.36799999999999999</v>
      </c>
      <c r="P96" s="14">
        <v>0.125</v>
      </c>
      <c r="Q96" s="13">
        <v>93.2</v>
      </c>
    </row>
    <row r="97" spans="1:17">
      <c r="A97" s="13" t="s">
        <v>304</v>
      </c>
      <c r="B97" s="13">
        <v>4.5</v>
      </c>
      <c r="C97" s="13">
        <v>5.16</v>
      </c>
      <c r="D97" s="13">
        <v>4.2300000000000004</v>
      </c>
      <c r="E97" s="13">
        <v>4.1399999999999997</v>
      </c>
      <c r="F97" s="13">
        <v>0.4</v>
      </c>
      <c r="G97" s="13">
        <v>16918</v>
      </c>
      <c r="H97" s="13" t="s">
        <v>305</v>
      </c>
      <c r="I97" s="13">
        <v>40</v>
      </c>
      <c r="J97" s="13">
        <v>8.5500000000000007</v>
      </c>
      <c r="K97" s="13">
        <v>2.93</v>
      </c>
      <c r="L97" s="13">
        <v>1.35</v>
      </c>
      <c r="M97" s="13">
        <v>0.26600000000000001</v>
      </c>
      <c r="N97" s="14">
        <v>0.71399999999999997</v>
      </c>
      <c r="O97" s="14">
        <v>0.38100000000000001</v>
      </c>
      <c r="P97" s="14">
        <v>0.14000000000000001</v>
      </c>
      <c r="Q97" s="13">
        <v>93.4</v>
      </c>
    </row>
    <row r="98" spans="1:17">
      <c r="A98" s="13" t="s">
        <v>306</v>
      </c>
      <c r="B98" s="13">
        <v>5.73</v>
      </c>
      <c r="C98" s="13">
        <v>3.97</v>
      </c>
      <c r="D98" s="13">
        <v>4.4400000000000004</v>
      </c>
      <c r="E98" s="13">
        <v>4.6100000000000003</v>
      </c>
      <c r="F98" s="13">
        <v>0.7</v>
      </c>
      <c r="G98" s="13">
        <v>5524</v>
      </c>
      <c r="H98" s="13" t="s">
        <v>305</v>
      </c>
      <c r="I98" s="13">
        <v>59.2</v>
      </c>
      <c r="J98" s="13">
        <v>9.35</v>
      </c>
      <c r="K98" s="13">
        <v>2.72</v>
      </c>
      <c r="L98" s="13">
        <v>1.51</v>
      </c>
      <c r="M98" s="13">
        <v>0.28999999999999998</v>
      </c>
      <c r="N98" s="14">
        <v>0.59699999999999998</v>
      </c>
      <c r="O98" s="14">
        <v>0.315</v>
      </c>
      <c r="P98" s="14">
        <v>0.123</v>
      </c>
      <c r="Q98" s="13">
        <v>91.1</v>
      </c>
    </row>
    <row r="99" spans="1:17">
      <c r="A99" s="13" t="s">
        <v>307</v>
      </c>
      <c r="B99" s="13">
        <v>5.01</v>
      </c>
      <c r="C99" s="13">
        <v>7.28</v>
      </c>
      <c r="D99" s="13">
        <v>5.36</v>
      </c>
      <c r="E99" s="13">
        <v>4.63</v>
      </c>
      <c r="F99" s="13">
        <v>0.1</v>
      </c>
      <c r="G99" s="13">
        <v>15467</v>
      </c>
      <c r="H99" s="13" t="s">
        <v>222</v>
      </c>
      <c r="I99" s="13">
        <v>32.1</v>
      </c>
      <c r="J99" s="13">
        <v>8.07</v>
      </c>
      <c r="K99" s="13">
        <v>3.34</v>
      </c>
      <c r="L99" s="13">
        <v>1.95</v>
      </c>
      <c r="M99" s="13">
        <v>0.253</v>
      </c>
      <c r="N99" s="14">
        <v>0.745</v>
      </c>
      <c r="O99" s="14">
        <v>0.31900000000000001</v>
      </c>
      <c r="P99" s="14">
        <v>0.17899999999999999</v>
      </c>
      <c r="Q99" s="13">
        <v>88.2</v>
      </c>
    </row>
    <row r="100" spans="1:17">
      <c r="A100" s="13" t="s">
        <v>308</v>
      </c>
      <c r="B100" s="13">
        <v>2.64</v>
      </c>
      <c r="C100" s="13">
        <v>3.97</v>
      </c>
      <c r="D100" s="13">
        <v>3.63</v>
      </c>
      <c r="E100" s="13">
        <v>3.4</v>
      </c>
      <c r="F100" s="13">
        <v>1</v>
      </c>
      <c r="G100" s="13">
        <v>13431</v>
      </c>
      <c r="H100" s="13" t="s">
        <v>239</v>
      </c>
      <c r="I100" s="13">
        <v>64.2</v>
      </c>
      <c r="J100" s="13">
        <v>7.24</v>
      </c>
      <c r="K100" s="13">
        <v>1.81</v>
      </c>
      <c r="L100" s="13">
        <v>0.97</v>
      </c>
      <c r="M100" s="13">
        <v>0.26300000000000001</v>
      </c>
      <c r="N100" s="14">
        <v>0.76800000000000002</v>
      </c>
      <c r="O100" s="14">
        <v>0.53500000000000003</v>
      </c>
      <c r="P100" s="14">
        <v>0.159</v>
      </c>
      <c r="Q100" s="13">
        <v>93</v>
      </c>
    </row>
    <row r="101" spans="1:17">
      <c r="A101" s="13" t="s">
        <v>309</v>
      </c>
      <c r="B101" s="13">
        <v>3.55</v>
      </c>
      <c r="C101" s="13">
        <v>4.34</v>
      </c>
      <c r="D101" s="13">
        <v>3.63</v>
      </c>
      <c r="E101" s="13">
        <v>4.2</v>
      </c>
      <c r="F101" s="13">
        <v>0.8</v>
      </c>
      <c r="G101" s="13">
        <v>6902</v>
      </c>
      <c r="H101" s="13" t="s">
        <v>247</v>
      </c>
      <c r="I101" s="13">
        <v>50.2</v>
      </c>
      <c r="J101" s="13">
        <v>8.5299999999999994</v>
      </c>
      <c r="K101" s="13">
        <v>3.02</v>
      </c>
      <c r="L101" s="13">
        <v>0.71</v>
      </c>
      <c r="M101" s="13">
        <v>0.31</v>
      </c>
      <c r="N101" s="14">
        <v>0.749</v>
      </c>
      <c r="O101" s="14">
        <v>0.438</v>
      </c>
      <c r="P101" s="14">
        <v>8.5000000000000006E-2</v>
      </c>
      <c r="Q101" s="13">
        <v>93.2</v>
      </c>
    </row>
    <row r="102" spans="1:17">
      <c r="A102" s="13" t="s">
        <v>310</v>
      </c>
      <c r="B102" s="13">
        <v>6.62</v>
      </c>
      <c r="C102" s="13">
        <v>5.0999999999999996</v>
      </c>
      <c r="D102" s="13">
        <v>4.51</v>
      </c>
      <c r="E102" s="13">
        <v>4.5999999999999996</v>
      </c>
      <c r="F102" s="13">
        <v>0.6</v>
      </c>
      <c r="G102" s="13">
        <v>11713</v>
      </c>
      <c r="H102" s="13" t="s">
        <v>208</v>
      </c>
      <c r="I102" s="13">
        <v>51.2</v>
      </c>
      <c r="J102" s="13">
        <v>7.84</v>
      </c>
      <c r="K102" s="13">
        <v>2.96</v>
      </c>
      <c r="L102" s="13">
        <v>1.39</v>
      </c>
      <c r="M102" s="13">
        <v>0.34100000000000003</v>
      </c>
      <c r="N102" s="14">
        <v>0.56899999999999995</v>
      </c>
      <c r="O102" s="14">
        <v>0.41499999999999998</v>
      </c>
      <c r="P102" s="14">
        <v>0.127</v>
      </c>
      <c r="Q102" s="13">
        <v>93.7</v>
      </c>
    </row>
    <row r="103" spans="1:17">
      <c r="A103" s="13" t="s">
        <v>311</v>
      </c>
      <c r="B103" s="13">
        <v>5.9</v>
      </c>
      <c r="C103" s="13">
        <v>5.34</v>
      </c>
      <c r="D103" s="13">
        <v>5.66</v>
      </c>
      <c r="E103" s="13">
        <v>5.0599999999999996</v>
      </c>
      <c r="F103" s="13">
        <v>-0.2</v>
      </c>
      <c r="G103" s="13">
        <v>4776</v>
      </c>
      <c r="H103" s="13" t="s">
        <v>261</v>
      </c>
      <c r="I103" s="13">
        <v>50.1</v>
      </c>
      <c r="J103" s="13">
        <v>5.9</v>
      </c>
      <c r="K103" s="13">
        <v>3.4</v>
      </c>
      <c r="L103" s="13">
        <v>1.79</v>
      </c>
      <c r="M103" s="13">
        <v>0.26900000000000002</v>
      </c>
      <c r="N103" s="14">
        <v>0.66700000000000004</v>
      </c>
      <c r="O103" s="14">
        <v>0.44900000000000001</v>
      </c>
      <c r="P103" s="14">
        <v>0.17199999999999999</v>
      </c>
      <c r="Q103" s="13">
        <v>91.8</v>
      </c>
    </row>
    <row r="104" spans="1:17">
      <c r="A104" s="13" t="s">
        <v>312</v>
      </c>
      <c r="B104" s="13">
        <v>3.9</v>
      </c>
      <c r="C104" s="13">
        <v>3.91</v>
      </c>
      <c r="D104" s="13">
        <v>3.86</v>
      </c>
      <c r="E104" s="13">
        <v>4.7699999999999996</v>
      </c>
      <c r="F104" s="13">
        <v>1.2</v>
      </c>
      <c r="G104" s="13">
        <v>15440</v>
      </c>
      <c r="H104" s="13" t="s">
        <v>215</v>
      </c>
      <c r="I104" s="13">
        <v>62.1</v>
      </c>
      <c r="J104" s="13">
        <v>7.36</v>
      </c>
      <c r="K104" s="13">
        <v>2.6</v>
      </c>
      <c r="L104" s="13">
        <v>0.87</v>
      </c>
      <c r="M104" s="13">
        <v>0.27100000000000002</v>
      </c>
      <c r="N104" s="14">
        <v>0.70399999999999996</v>
      </c>
      <c r="O104" s="14">
        <v>0.375</v>
      </c>
      <c r="P104" s="14">
        <v>7.6999999999999999E-2</v>
      </c>
      <c r="Q104" s="13">
        <v>92</v>
      </c>
    </row>
    <row r="105" spans="1:17">
      <c r="A105" s="13" t="s">
        <v>313</v>
      </c>
      <c r="B105" s="13">
        <v>5.35</v>
      </c>
      <c r="C105" s="13">
        <v>4.3099999999999996</v>
      </c>
      <c r="D105" s="13">
        <v>3.91</v>
      </c>
      <c r="E105" s="13">
        <v>4.08</v>
      </c>
      <c r="F105" s="13">
        <v>0.5</v>
      </c>
      <c r="G105" s="13">
        <v>13743</v>
      </c>
      <c r="H105" s="13" t="s">
        <v>210</v>
      </c>
      <c r="I105" s="13">
        <v>38.200000000000003</v>
      </c>
      <c r="J105" s="13">
        <v>9.5399999999999991</v>
      </c>
      <c r="K105" s="13">
        <v>3.72</v>
      </c>
      <c r="L105" s="13">
        <v>0.93</v>
      </c>
      <c r="M105" s="13">
        <v>0.35699999999999998</v>
      </c>
      <c r="N105" s="14">
        <v>0.68500000000000005</v>
      </c>
      <c r="O105" s="14">
        <v>0.42</v>
      </c>
      <c r="P105" s="14">
        <v>0.11799999999999999</v>
      </c>
      <c r="Q105" s="13">
        <v>93.7</v>
      </c>
    </row>
    <row r="106" spans="1:17">
      <c r="A106" s="13" t="s">
        <v>314</v>
      </c>
      <c r="B106" s="13">
        <v>2.34</v>
      </c>
      <c r="C106" s="13">
        <v>2.76</v>
      </c>
      <c r="D106" s="13">
        <v>3.19</v>
      </c>
      <c r="E106" s="13">
        <v>3</v>
      </c>
      <c r="F106" s="13">
        <v>1.8</v>
      </c>
      <c r="G106" s="13">
        <v>3137</v>
      </c>
      <c r="H106" s="13" t="s">
        <v>249</v>
      </c>
      <c r="I106" s="13">
        <v>69.099999999999994</v>
      </c>
      <c r="J106" s="13">
        <v>12.33</v>
      </c>
      <c r="K106" s="13">
        <v>1.82</v>
      </c>
      <c r="L106" s="13">
        <v>1.43</v>
      </c>
      <c r="M106" s="13">
        <v>0.23400000000000001</v>
      </c>
      <c r="N106" s="14">
        <v>0.89700000000000002</v>
      </c>
      <c r="O106" s="14">
        <v>0.28100000000000003</v>
      </c>
      <c r="P106" s="14">
        <v>0.14699999999999999</v>
      </c>
      <c r="Q106" s="13">
        <v>94.2</v>
      </c>
    </row>
    <row r="107" spans="1:17">
      <c r="A107" s="13" t="s">
        <v>315</v>
      </c>
      <c r="B107" s="13">
        <v>5.04</v>
      </c>
      <c r="C107" s="13">
        <v>4.49</v>
      </c>
      <c r="D107" s="13">
        <v>4.04</v>
      </c>
      <c r="E107" s="13">
        <v>3.99</v>
      </c>
      <c r="F107" s="13">
        <v>0.9</v>
      </c>
      <c r="G107" s="13">
        <v>11156</v>
      </c>
      <c r="H107" s="13" t="s">
        <v>305</v>
      </c>
      <c r="I107" s="13">
        <v>64.099999999999994</v>
      </c>
      <c r="J107" s="13">
        <v>8.11</v>
      </c>
      <c r="K107" s="13">
        <v>2.52</v>
      </c>
      <c r="L107" s="13">
        <v>1.26</v>
      </c>
      <c r="M107" s="13">
        <v>0.317</v>
      </c>
      <c r="N107" s="14">
        <v>0.66300000000000003</v>
      </c>
      <c r="O107" s="14">
        <v>0.42799999999999999</v>
      </c>
      <c r="P107" s="14">
        <v>0.13600000000000001</v>
      </c>
      <c r="Q107" s="13">
        <v>91.5</v>
      </c>
    </row>
    <row r="108" spans="1:17">
      <c r="A108" s="13" t="s">
        <v>316</v>
      </c>
      <c r="B108" s="13">
        <v>3.4</v>
      </c>
      <c r="C108" s="13">
        <v>4.34</v>
      </c>
      <c r="D108" s="13">
        <v>4.33</v>
      </c>
      <c r="E108" s="13">
        <v>3.94</v>
      </c>
      <c r="F108" s="13">
        <v>0.4</v>
      </c>
      <c r="G108" s="13">
        <v>5372</v>
      </c>
      <c r="H108" s="13" t="s">
        <v>261</v>
      </c>
      <c r="I108" s="13">
        <v>47.2</v>
      </c>
      <c r="J108" s="13">
        <v>9.06</v>
      </c>
      <c r="K108" s="13">
        <v>2.27</v>
      </c>
      <c r="L108" s="13">
        <v>1.7</v>
      </c>
      <c r="M108" s="13">
        <v>0.24399999999999999</v>
      </c>
      <c r="N108" s="14">
        <v>0.80700000000000005</v>
      </c>
      <c r="O108" s="14">
        <v>0.4</v>
      </c>
      <c r="P108" s="14">
        <v>0.158</v>
      </c>
      <c r="Q108" s="13">
        <v>91.2</v>
      </c>
    </row>
    <row r="109" spans="1:17">
      <c r="A109" s="13" t="s">
        <v>317</v>
      </c>
      <c r="B109" s="13">
        <v>3.04</v>
      </c>
      <c r="C109" s="13"/>
      <c r="D109" s="13">
        <v>3.26</v>
      </c>
      <c r="E109" s="13">
        <v>4.21</v>
      </c>
      <c r="F109" s="13">
        <v>0.6</v>
      </c>
      <c r="G109" s="13">
        <v>14078</v>
      </c>
      <c r="H109" s="13" t="s">
        <v>286</v>
      </c>
      <c r="I109" s="13">
        <v>23.2</v>
      </c>
      <c r="J109" s="13">
        <v>7.23</v>
      </c>
      <c r="K109" s="13">
        <v>1.9</v>
      </c>
      <c r="L109" s="13">
        <v>0.76</v>
      </c>
      <c r="M109" s="13">
        <v>0.26900000000000002</v>
      </c>
      <c r="N109" s="14">
        <v>0.72099999999999997</v>
      </c>
      <c r="O109" s="14">
        <v>0.30399999999999999</v>
      </c>
      <c r="P109" s="14">
        <v>7.0999999999999994E-2</v>
      </c>
      <c r="Q109" s="13">
        <v>93.5</v>
      </c>
    </row>
    <row r="110" spans="1:17">
      <c r="A110" s="13" t="s">
        <v>318</v>
      </c>
      <c r="B110" s="13">
        <v>4.3099999999999996</v>
      </c>
      <c r="C110" s="13">
        <v>4.55</v>
      </c>
      <c r="D110" s="13">
        <v>5.08</v>
      </c>
      <c r="E110" s="13">
        <v>4.88</v>
      </c>
      <c r="F110" s="13">
        <v>0.1</v>
      </c>
      <c r="G110" s="13">
        <v>10811</v>
      </c>
      <c r="H110" s="13" t="s">
        <v>236</v>
      </c>
      <c r="I110" s="13">
        <v>62.2</v>
      </c>
      <c r="J110" s="13">
        <v>6.32</v>
      </c>
      <c r="K110" s="13">
        <v>2.2999999999999998</v>
      </c>
      <c r="L110" s="13">
        <v>1.72</v>
      </c>
      <c r="M110" s="13">
        <v>0.28299999999999997</v>
      </c>
      <c r="N110" s="14">
        <v>0.80100000000000005</v>
      </c>
      <c r="O110" s="14">
        <v>0.35899999999999999</v>
      </c>
      <c r="P110" s="14">
        <v>0.14499999999999999</v>
      </c>
      <c r="Q110" s="13">
        <v>94.7</v>
      </c>
    </row>
    <row r="111" spans="1:17">
      <c r="A111" s="13" t="s">
        <v>319</v>
      </c>
      <c r="B111" s="13">
        <v>4.6500000000000004</v>
      </c>
      <c r="C111" s="13">
        <v>3.73</v>
      </c>
      <c r="D111" s="13">
        <v>3.8</v>
      </c>
      <c r="E111" s="13">
        <v>3.91</v>
      </c>
      <c r="F111" s="13">
        <v>1</v>
      </c>
      <c r="G111" s="13">
        <v>10021</v>
      </c>
      <c r="H111" s="13" t="s">
        <v>203</v>
      </c>
      <c r="I111" s="13">
        <v>60</v>
      </c>
      <c r="J111" s="13">
        <v>10.199999999999999</v>
      </c>
      <c r="K111" s="13">
        <v>3.3</v>
      </c>
      <c r="L111" s="13">
        <v>1.2</v>
      </c>
      <c r="M111" s="13">
        <v>0.28299999999999997</v>
      </c>
      <c r="N111" s="14">
        <v>0.67400000000000004</v>
      </c>
      <c r="O111" s="14">
        <v>0.4</v>
      </c>
      <c r="P111" s="14">
        <v>0.125</v>
      </c>
      <c r="Q111" s="13">
        <v>91.2</v>
      </c>
    </row>
    <row r="112" spans="1:17">
      <c r="A112" s="13" t="s">
        <v>320</v>
      </c>
      <c r="B112" s="13">
        <v>6.54</v>
      </c>
      <c r="C112" s="13">
        <v>5.13</v>
      </c>
      <c r="D112" s="13">
        <v>4.49</v>
      </c>
      <c r="E112" s="13">
        <v>4.7699999999999996</v>
      </c>
      <c r="F112" s="13">
        <v>0.3</v>
      </c>
      <c r="G112" s="13">
        <v>17594</v>
      </c>
      <c r="H112" s="13" t="s">
        <v>288</v>
      </c>
      <c r="I112" s="13">
        <v>42.2</v>
      </c>
      <c r="J112" s="13">
        <v>9.6999999999999993</v>
      </c>
      <c r="K112" s="13">
        <v>4.8499999999999996</v>
      </c>
      <c r="L112" s="13">
        <v>1.27</v>
      </c>
      <c r="M112" s="13">
        <v>0.35</v>
      </c>
      <c r="N112" s="14">
        <v>0.65</v>
      </c>
      <c r="O112" s="14">
        <v>0.33300000000000002</v>
      </c>
      <c r="P112" s="14">
        <v>0.115</v>
      </c>
      <c r="Q112" s="13">
        <v>94.7</v>
      </c>
    </row>
    <row r="113" spans="1:17">
      <c r="A113" s="13" t="s">
        <v>321</v>
      </c>
      <c r="B113" s="13">
        <v>4.01</v>
      </c>
      <c r="C113" s="13">
        <v>3.32</v>
      </c>
      <c r="D113" s="13">
        <v>2.33</v>
      </c>
      <c r="E113" s="13">
        <v>3.56</v>
      </c>
      <c r="F113" s="13">
        <v>2</v>
      </c>
      <c r="G113" s="13">
        <v>9132</v>
      </c>
      <c r="H113" s="13" t="s">
        <v>247</v>
      </c>
      <c r="I113" s="13">
        <v>60.2</v>
      </c>
      <c r="J113" s="13">
        <v>8.6</v>
      </c>
      <c r="K113" s="13">
        <v>2.08</v>
      </c>
      <c r="L113" s="13">
        <v>0.15</v>
      </c>
      <c r="M113" s="13">
        <v>0.316</v>
      </c>
      <c r="N113" s="14">
        <v>0.65200000000000002</v>
      </c>
      <c r="O113" s="14">
        <v>0.46300000000000002</v>
      </c>
      <c r="P113" s="14">
        <v>0.02</v>
      </c>
      <c r="Q113" s="13">
        <v>97.4</v>
      </c>
    </row>
    <row r="114" spans="1:17">
      <c r="A114" s="13" t="s">
        <v>322</v>
      </c>
      <c r="B114" s="13">
        <v>3.77</v>
      </c>
      <c r="C114" s="13">
        <v>3.7</v>
      </c>
      <c r="D114" s="13">
        <v>3.24</v>
      </c>
      <c r="E114" s="13">
        <v>4.22</v>
      </c>
      <c r="F114" s="13">
        <v>1.3</v>
      </c>
      <c r="G114" s="13">
        <v>15454</v>
      </c>
      <c r="H114" s="13" t="s">
        <v>247</v>
      </c>
      <c r="I114" s="13">
        <v>59.2</v>
      </c>
      <c r="J114" s="13">
        <v>10.26</v>
      </c>
      <c r="K114" s="13">
        <v>4.22</v>
      </c>
      <c r="L114" s="13">
        <v>0.6</v>
      </c>
      <c r="M114" s="13">
        <v>0.28100000000000003</v>
      </c>
      <c r="N114" s="14">
        <v>0.70599999999999996</v>
      </c>
      <c r="O114" s="14">
        <v>0.35799999999999998</v>
      </c>
      <c r="P114" s="14">
        <v>6.3E-2</v>
      </c>
      <c r="Q114" s="13">
        <v>95.1</v>
      </c>
    </row>
    <row r="115" spans="1:17">
      <c r="A115" s="13" t="s">
        <v>323</v>
      </c>
      <c r="B115" s="13">
        <v>2.82</v>
      </c>
      <c r="C115" s="13">
        <v>3.47</v>
      </c>
      <c r="D115" s="13">
        <v>3.4</v>
      </c>
      <c r="E115" s="13">
        <v>3.49</v>
      </c>
      <c r="F115" s="13">
        <v>1.3</v>
      </c>
      <c r="G115" s="13">
        <v>17085</v>
      </c>
      <c r="H115" s="13" t="s">
        <v>227</v>
      </c>
      <c r="I115" s="13">
        <v>67</v>
      </c>
      <c r="J115" s="13">
        <v>9.1300000000000008</v>
      </c>
      <c r="K115" s="13">
        <v>2.5499999999999998</v>
      </c>
      <c r="L115" s="13">
        <v>0.94</v>
      </c>
      <c r="M115" s="13">
        <v>0.28999999999999998</v>
      </c>
      <c r="N115" s="14">
        <v>0.80900000000000005</v>
      </c>
      <c r="O115" s="14">
        <v>0.47</v>
      </c>
      <c r="P115" s="14">
        <v>0.125</v>
      </c>
      <c r="Q115" s="13">
        <v>93.8</v>
      </c>
    </row>
    <row r="116" spans="1:17">
      <c r="A116" s="13" t="s">
        <v>324</v>
      </c>
      <c r="B116" s="13">
        <v>6.23</v>
      </c>
      <c r="C116" s="13">
        <v>6.07</v>
      </c>
      <c r="D116" s="13">
        <v>5.58</v>
      </c>
      <c r="E116" s="13">
        <v>4.32</v>
      </c>
      <c r="F116" s="13">
        <v>-0.2</v>
      </c>
      <c r="G116" s="13">
        <v>9323</v>
      </c>
      <c r="H116" s="13" t="s">
        <v>249</v>
      </c>
      <c r="I116" s="13">
        <v>52</v>
      </c>
      <c r="J116" s="13">
        <v>7.1</v>
      </c>
      <c r="K116" s="13">
        <v>3.46</v>
      </c>
      <c r="L116" s="13">
        <v>1.9</v>
      </c>
      <c r="M116" s="13">
        <v>0.316</v>
      </c>
      <c r="N116" s="14">
        <v>0.67100000000000004</v>
      </c>
      <c r="O116" s="14">
        <v>0.47799999999999998</v>
      </c>
      <c r="P116" s="14">
        <v>0.24399999999999999</v>
      </c>
      <c r="Q116" s="13">
        <v>91.8</v>
      </c>
    </row>
    <row r="117" spans="1:17">
      <c r="A117" s="13" t="s">
        <v>325</v>
      </c>
      <c r="B117" s="13">
        <v>3.32</v>
      </c>
      <c r="C117" s="13">
        <v>4.1100000000000003</v>
      </c>
      <c r="D117" s="13">
        <v>3.89</v>
      </c>
      <c r="E117" s="13">
        <v>3.87</v>
      </c>
      <c r="F117" s="13">
        <v>0.7</v>
      </c>
      <c r="G117" s="13">
        <v>4806</v>
      </c>
      <c r="H117" s="13" t="s">
        <v>286</v>
      </c>
      <c r="I117" s="13">
        <v>57</v>
      </c>
      <c r="J117" s="13">
        <v>9.4700000000000006</v>
      </c>
      <c r="K117" s="13">
        <v>3</v>
      </c>
      <c r="L117" s="13">
        <v>1.1100000000000001</v>
      </c>
      <c r="M117" s="13">
        <v>0.23499999999999999</v>
      </c>
      <c r="N117" s="14">
        <v>0.78900000000000003</v>
      </c>
      <c r="O117" s="14">
        <v>0.42599999999999999</v>
      </c>
      <c r="P117" s="14">
        <v>0.13500000000000001</v>
      </c>
      <c r="Q117" s="13">
        <v>89.1</v>
      </c>
    </row>
    <row r="118" spans="1:17">
      <c r="A118" s="13" t="s">
        <v>326</v>
      </c>
      <c r="B118" s="13">
        <v>7.36</v>
      </c>
      <c r="C118" s="13"/>
      <c r="D118" s="13">
        <v>5.09</v>
      </c>
      <c r="E118" s="13">
        <v>5.44</v>
      </c>
      <c r="F118" s="13">
        <v>0</v>
      </c>
      <c r="G118" s="13">
        <v>19826</v>
      </c>
      <c r="H118" s="13" t="s">
        <v>305</v>
      </c>
      <c r="I118" s="13">
        <v>22</v>
      </c>
      <c r="J118" s="13">
        <v>2.86</v>
      </c>
      <c r="K118" s="13">
        <v>2.4500000000000002</v>
      </c>
      <c r="L118" s="13">
        <v>1.23</v>
      </c>
      <c r="M118" s="13">
        <v>0.33700000000000002</v>
      </c>
      <c r="N118" s="14">
        <v>0.57899999999999996</v>
      </c>
      <c r="O118" s="14">
        <v>0.48199999999999998</v>
      </c>
      <c r="P118" s="14">
        <v>0.111</v>
      </c>
      <c r="Q118" s="13">
        <v>92.7</v>
      </c>
    </row>
    <row r="119" spans="1:17">
      <c r="A119" s="13" t="s">
        <v>327</v>
      </c>
      <c r="B119" s="13">
        <v>3.57</v>
      </c>
      <c r="C119" s="13">
        <v>4.2</v>
      </c>
      <c r="D119" s="13">
        <v>4.72</v>
      </c>
      <c r="E119" s="13">
        <v>3.34</v>
      </c>
      <c r="F119" s="13">
        <v>0.2</v>
      </c>
      <c r="G119" s="13">
        <v>11486</v>
      </c>
      <c r="H119" s="13" t="s">
        <v>258</v>
      </c>
      <c r="I119" s="13">
        <v>58</v>
      </c>
      <c r="J119" s="13">
        <v>10.71</v>
      </c>
      <c r="K119" s="13">
        <v>2.33</v>
      </c>
      <c r="L119" s="13">
        <v>2.17</v>
      </c>
      <c r="M119" s="13">
        <v>0.27300000000000002</v>
      </c>
      <c r="N119" s="14">
        <v>0.90900000000000003</v>
      </c>
      <c r="O119" s="14">
        <v>0.44400000000000001</v>
      </c>
      <c r="P119" s="14">
        <v>0.23699999999999999</v>
      </c>
      <c r="Q119" s="13">
        <v>95</v>
      </c>
    </row>
    <row r="120" spans="1:17">
      <c r="A120" s="13" t="s">
        <v>328</v>
      </c>
      <c r="B120" s="13">
        <v>6.3</v>
      </c>
      <c r="C120" s="13"/>
      <c r="D120" s="13">
        <v>5.37</v>
      </c>
      <c r="E120" s="13">
        <v>4.43</v>
      </c>
      <c r="F120" s="13">
        <v>-0.1</v>
      </c>
      <c r="G120" s="13">
        <v>13273</v>
      </c>
      <c r="H120" s="13" t="s">
        <v>258</v>
      </c>
      <c r="I120" s="13">
        <v>30</v>
      </c>
      <c r="J120" s="13">
        <v>9.6</v>
      </c>
      <c r="K120" s="13">
        <v>2.7</v>
      </c>
      <c r="L120" s="13">
        <v>2.4</v>
      </c>
      <c r="M120" s="13">
        <v>0.34499999999999997</v>
      </c>
      <c r="N120" s="14">
        <v>0.72599999999999998</v>
      </c>
      <c r="O120" s="14">
        <v>0.32300000000000001</v>
      </c>
      <c r="P120" s="14">
        <v>0.182</v>
      </c>
      <c r="Q120" s="13">
        <v>91.7</v>
      </c>
    </row>
    <row r="121" spans="1:17">
      <c r="A121" s="13" t="s">
        <v>329</v>
      </c>
      <c r="B121" s="13">
        <v>2.2999999999999998</v>
      </c>
      <c r="C121" s="13"/>
      <c r="D121" s="13">
        <v>4.82</v>
      </c>
      <c r="E121" s="13">
        <v>4.87</v>
      </c>
      <c r="F121" s="13">
        <v>0.2</v>
      </c>
      <c r="G121" s="13">
        <v>23796</v>
      </c>
      <c r="H121" s="13" t="s">
        <v>201</v>
      </c>
      <c r="I121" s="13">
        <v>27.1</v>
      </c>
      <c r="J121" s="13">
        <v>5.93</v>
      </c>
      <c r="K121" s="13">
        <v>2.96</v>
      </c>
      <c r="L121" s="13">
        <v>1.32</v>
      </c>
      <c r="M121" s="13">
        <v>0.20799999999999999</v>
      </c>
      <c r="N121" s="14">
        <v>0.94299999999999995</v>
      </c>
      <c r="O121" s="14">
        <v>0.40500000000000003</v>
      </c>
      <c r="P121" s="14">
        <v>0.129</v>
      </c>
      <c r="Q121" s="13">
        <v>94</v>
      </c>
    </row>
    <row r="122" spans="1:17">
      <c r="A122" s="13" t="s">
        <v>330</v>
      </c>
      <c r="B122" s="13">
        <v>5.77</v>
      </c>
      <c r="C122" s="13"/>
      <c r="D122" s="13">
        <v>4.88</v>
      </c>
      <c r="E122" s="13">
        <v>3.94</v>
      </c>
      <c r="F122" s="13">
        <v>0.1</v>
      </c>
      <c r="G122" s="13">
        <v>16502</v>
      </c>
      <c r="H122" s="13" t="s">
        <v>286</v>
      </c>
      <c r="I122" s="13">
        <v>39</v>
      </c>
      <c r="J122" s="13">
        <v>6.92</v>
      </c>
      <c r="K122" s="13">
        <v>1.62</v>
      </c>
      <c r="L122" s="13">
        <v>1.85</v>
      </c>
      <c r="M122" s="13">
        <v>0.30099999999999999</v>
      </c>
      <c r="N122" s="14">
        <v>0.52600000000000002</v>
      </c>
      <c r="O122" s="14">
        <v>0.38800000000000001</v>
      </c>
      <c r="P122" s="14">
        <v>0.20499999999999999</v>
      </c>
      <c r="Q122" s="13">
        <v>86.7</v>
      </c>
    </row>
    <row r="123" spans="1:17">
      <c r="A123" s="13" t="s">
        <v>331</v>
      </c>
      <c r="B123" s="13">
        <v>3.68</v>
      </c>
      <c r="C123" s="13">
        <v>2.93</v>
      </c>
      <c r="D123" s="13">
        <v>3.66</v>
      </c>
      <c r="E123" s="13">
        <v>3.6</v>
      </c>
      <c r="F123" s="13">
        <v>1</v>
      </c>
      <c r="G123" s="13">
        <v>18684</v>
      </c>
      <c r="H123" s="13" t="s">
        <v>227</v>
      </c>
      <c r="I123" s="13">
        <v>71</v>
      </c>
      <c r="J123" s="13">
        <v>8.6199999999999992</v>
      </c>
      <c r="K123" s="13">
        <v>2.54</v>
      </c>
      <c r="L123" s="13">
        <v>1.01</v>
      </c>
      <c r="M123" s="13">
        <v>0.25700000000000001</v>
      </c>
      <c r="N123" s="14">
        <v>0.70799999999999996</v>
      </c>
      <c r="O123" s="14">
        <v>0.52300000000000002</v>
      </c>
      <c r="P123" s="14">
        <v>0.13800000000000001</v>
      </c>
      <c r="Q123" s="13">
        <v>97.8</v>
      </c>
    </row>
    <row r="124" spans="1:17">
      <c r="A124" s="13" t="s">
        <v>332</v>
      </c>
      <c r="B124" s="13">
        <v>3.36</v>
      </c>
      <c r="C124" s="13">
        <v>3.97</v>
      </c>
      <c r="D124" s="13">
        <v>3.16</v>
      </c>
      <c r="E124" s="13">
        <v>3.52</v>
      </c>
      <c r="F124" s="13">
        <v>1.5</v>
      </c>
      <c r="G124" s="13">
        <v>15873</v>
      </c>
      <c r="H124" s="13" t="s">
        <v>220</v>
      </c>
      <c r="I124" s="13">
        <v>69.2</v>
      </c>
      <c r="J124" s="13">
        <v>9.0399999999999991</v>
      </c>
      <c r="K124" s="13">
        <v>2.0699999999999998</v>
      </c>
      <c r="L124" s="13">
        <v>0.9</v>
      </c>
      <c r="M124" s="13">
        <v>0.32600000000000001</v>
      </c>
      <c r="N124" s="14">
        <v>0.79</v>
      </c>
      <c r="O124" s="14">
        <v>0.41799999999999998</v>
      </c>
      <c r="P124" s="14">
        <v>0.104</v>
      </c>
      <c r="Q124" s="13">
        <v>91.7</v>
      </c>
    </row>
    <row r="125" spans="1:17">
      <c r="A125" s="13" t="s">
        <v>333</v>
      </c>
      <c r="B125" s="13">
        <v>3.08</v>
      </c>
      <c r="C125" s="13">
        <v>3.55</v>
      </c>
      <c r="D125" s="13">
        <v>2.87</v>
      </c>
      <c r="E125" s="13">
        <v>2.66</v>
      </c>
      <c r="F125" s="13">
        <v>2.1</v>
      </c>
      <c r="G125" s="13">
        <v>19427</v>
      </c>
      <c r="H125" s="13" t="s">
        <v>181</v>
      </c>
      <c r="I125" s="13">
        <v>79</v>
      </c>
      <c r="J125" s="13">
        <v>13.33</v>
      </c>
      <c r="K125" s="13">
        <v>3.3</v>
      </c>
      <c r="L125" s="13">
        <v>1.03</v>
      </c>
      <c r="M125" s="13">
        <v>0.32700000000000001</v>
      </c>
      <c r="N125" s="14">
        <v>0.80600000000000005</v>
      </c>
      <c r="O125" s="14">
        <v>0.433</v>
      </c>
      <c r="P125" s="14">
        <v>0.155</v>
      </c>
      <c r="Q125" s="13">
        <v>93.1</v>
      </c>
    </row>
    <row r="126" spans="1:17">
      <c r="A126" s="13" t="s">
        <v>334</v>
      </c>
      <c r="B126" s="13">
        <v>4.1100000000000003</v>
      </c>
      <c r="C126" s="13">
        <v>3.57</v>
      </c>
      <c r="D126" s="13">
        <v>3.23</v>
      </c>
      <c r="E126" s="13">
        <v>2.83</v>
      </c>
      <c r="F126" s="13">
        <v>0.6</v>
      </c>
      <c r="G126" s="13">
        <v>21483</v>
      </c>
      <c r="H126" s="13" t="s">
        <v>286</v>
      </c>
      <c r="I126" s="13">
        <v>30.2</v>
      </c>
      <c r="J126" s="13">
        <v>11.15</v>
      </c>
      <c r="K126" s="13">
        <v>2.64</v>
      </c>
      <c r="L126" s="13">
        <v>1.17</v>
      </c>
      <c r="M126" s="13">
        <v>0.33800000000000002</v>
      </c>
      <c r="N126" s="14">
        <v>0.74099999999999999</v>
      </c>
      <c r="O126" s="14">
        <v>0.434</v>
      </c>
      <c r="P126" s="14">
        <v>0.17399999999999999</v>
      </c>
      <c r="Q126" s="13">
        <v>97.5</v>
      </c>
    </row>
    <row r="127" spans="1:17">
      <c r="A127" s="13" t="s">
        <v>335</v>
      </c>
      <c r="B127" s="13">
        <v>2.72</v>
      </c>
      <c r="C127" s="13">
        <v>3.62</v>
      </c>
      <c r="D127" s="13">
        <v>3.85</v>
      </c>
      <c r="E127" s="13">
        <v>3.87</v>
      </c>
      <c r="F127" s="13">
        <v>0.6</v>
      </c>
      <c r="G127" s="13">
        <v>19755</v>
      </c>
      <c r="H127" s="13" t="s">
        <v>193</v>
      </c>
      <c r="I127" s="13">
        <v>36.1</v>
      </c>
      <c r="J127" s="13">
        <v>12.39</v>
      </c>
      <c r="K127" s="13">
        <v>6.44</v>
      </c>
      <c r="L127" s="13">
        <v>0.74</v>
      </c>
      <c r="M127" s="13">
        <v>0.222</v>
      </c>
      <c r="N127" s="14">
        <v>0.79900000000000004</v>
      </c>
      <c r="O127" s="14">
        <v>0.49299999999999999</v>
      </c>
      <c r="P127" s="14">
        <v>0.13</v>
      </c>
      <c r="Q127" s="13">
        <v>95.7</v>
      </c>
    </row>
    <row r="128" spans="1:17">
      <c r="A128" s="13" t="s">
        <v>336</v>
      </c>
      <c r="B128" s="13">
        <v>3.64</v>
      </c>
      <c r="C128" s="13">
        <v>3.65</v>
      </c>
      <c r="D128" s="13">
        <v>4.13</v>
      </c>
      <c r="E128" s="13">
        <v>3.32</v>
      </c>
      <c r="F128" s="13">
        <v>0.6</v>
      </c>
      <c r="G128" s="13">
        <v>12768</v>
      </c>
      <c r="H128" s="13" t="s">
        <v>269</v>
      </c>
      <c r="I128" s="13">
        <v>47</v>
      </c>
      <c r="J128" s="13">
        <v>11.49</v>
      </c>
      <c r="K128" s="13">
        <v>3.83</v>
      </c>
      <c r="L128" s="13">
        <v>1.53</v>
      </c>
      <c r="M128" s="13">
        <v>0.30399999999999999</v>
      </c>
      <c r="N128" s="14">
        <v>0.81399999999999995</v>
      </c>
      <c r="O128" s="14">
        <v>0.45500000000000002</v>
      </c>
      <c r="P128" s="14">
        <v>0.21099999999999999</v>
      </c>
      <c r="Q128" s="13">
        <v>93.2</v>
      </c>
    </row>
    <row r="129" spans="1:17">
      <c r="A129" s="13" t="s">
        <v>337</v>
      </c>
      <c r="B129" s="13">
        <v>2.93</v>
      </c>
      <c r="C129" s="13">
        <v>3.09</v>
      </c>
      <c r="D129" s="13">
        <v>2.79</v>
      </c>
      <c r="E129" s="13">
        <v>3.89</v>
      </c>
      <c r="F129" s="13">
        <v>1.4</v>
      </c>
      <c r="G129" s="13">
        <v>16207</v>
      </c>
      <c r="H129" s="13" t="s">
        <v>215</v>
      </c>
      <c r="I129" s="13">
        <v>46</v>
      </c>
      <c r="J129" s="13">
        <v>7.83</v>
      </c>
      <c r="K129" s="13">
        <v>2.35</v>
      </c>
      <c r="L129" s="13">
        <v>0.2</v>
      </c>
      <c r="M129" s="13">
        <v>0.26400000000000001</v>
      </c>
      <c r="N129" s="14">
        <v>0.69199999999999995</v>
      </c>
      <c r="O129" s="14">
        <v>0.54700000000000004</v>
      </c>
      <c r="P129" s="14">
        <v>2.7E-2</v>
      </c>
      <c r="Q129" s="13">
        <v>94.5</v>
      </c>
    </row>
    <row r="130" spans="1:17">
      <c r="A130" s="13" t="s">
        <v>338</v>
      </c>
      <c r="B130" s="13">
        <v>4.57</v>
      </c>
      <c r="C130" s="13">
        <v>5.13</v>
      </c>
      <c r="D130" s="13">
        <v>5.67</v>
      </c>
      <c r="E130" s="13">
        <v>5.03</v>
      </c>
      <c r="F130" s="13">
        <v>-0.1</v>
      </c>
      <c r="G130" s="13">
        <v>10131</v>
      </c>
      <c r="H130" s="13" t="s">
        <v>249</v>
      </c>
      <c r="I130" s="13">
        <v>21.2</v>
      </c>
      <c r="J130" s="13">
        <v>8.7200000000000006</v>
      </c>
      <c r="K130" s="13">
        <v>5.82</v>
      </c>
      <c r="L130" s="13">
        <v>1.66</v>
      </c>
      <c r="M130" s="13">
        <v>0.218</v>
      </c>
      <c r="N130" s="14">
        <v>0.748</v>
      </c>
      <c r="O130" s="14">
        <v>0.35599999999999998</v>
      </c>
      <c r="P130" s="14">
        <v>0.182</v>
      </c>
      <c r="Q130" s="13">
        <v>91.8</v>
      </c>
    </row>
    <row r="131" spans="1:17">
      <c r="A131" s="13" t="s">
        <v>339</v>
      </c>
      <c r="B131" s="13">
        <v>4.22</v>
      </c>
      <c r="C131" s="13">
        <v>3.65</v>
      </c>
      <c r="D131" s="13">
        <v>3.47</v>
      </c>
      <c r="E131" s="13">
        <v>3.42</v>
      </c>
      <c r="F131" s="13">
        <v>1</v>
      </c>
      <c r="G131" s="13">
        <v>13361</v>
      </c>
      <c r="H131" s="13" t="s">
        <v>258</v>
      </c>
      <c r="I131" s="13">
        <v>59.2</v>
      </c>
      <c r="J131" s="13">
        <v>9.65</v>
      </c>
      <c r="K131" s="13">
        <v>2.2599999999999998</v>
      </c>
      <c r="L131" s="13">
        <v>1.06</v>
      </c>
      <c r="M131" s="13">
        <v>0.32900000000000001</v>
      </c>
      <c r="N131" s="14">
        <v>0.71199999999999997</v>
      </c>
      <c r="O131" s="14">
        <v>0.47099999999999997</v>
      </c>
      <c r="P131" s="14">
        <v>0.13700000000000001</v>
      </c>
      <c r="Q131" s="13"/>
    </row>
    <row r="132" spans="1:17">
      <c r="A132" s="13" t="s">
        <v>340</v>
      </c>
      <c r="B132" s="13">
        <v>1.84</v>
      </c>
      <c r="C132" s="13">
        <v>3.65</v>
      </c>
      <c r="D132" s="13">
        <v>2.62</v>
      </c>
      <c r="E132" s="13">
        <v>3.84</v>
      </c>
      <c r="F132" s="13">
        <v>1.6</v>
      </c>
      <c r="G132" s="13">
        <v>11836</v>
      </c>
      <c r="H132" s="13" t="s">
        <v>239</v>
      </c>
      <c r="I132" s="13">
        <v>49</v>
      </c>
      <c r="J132" s="13">
        <v>9</v>
      </c>
      <c r="K132" s="13">
        <v>3.49</v>
      </c>
      <c r="L132" s="13">
        <v>0.18</v>
      </c>
      <c r="M132" s="13">
        <v>0.218</v>
      </c>
      <c r="N132" s="14">
        <v>0.76800000000000002</v>
      </c>
      <c r="O132" s="14">
        <v>0.38700000000000001</v>
      </c>
      <c r="P132" s="14">
        <v>2.4E-2</v>
      </c>
      <c r="Q132" s="13">
        <v>94.5</v>
      </c>
    </row>
    <row r="133" spans="1:17">
      <c r="A133" s="13" t="s">
        <v>341</v>
      </c>
      <c r="B133" s="13">
        <v>4.78</v>
      </c>
      <c r="C133" s="13"/>
      <c r="D133" s="13">
        <v>5.79</v>
      </c>
      <c r="E133" s="13">
        <v>4.7</v>
      </c>
      <c r="F133" s="13">
        <v>-0.1</v>
      </c>
      <c r="G133" s="13">
        <v>22267</v>
      </c>
      <c r="H133" s="13" t="s">
        <v>215</v>
      </c>
      <c r="I133" s="13">
        <v>43.1</v>
      </c>
      <c r="J133" s="13">
        <v>10.8</v>
      </c>
      <c r="K133" s="13">
        <v>4.1500000000000004</v>
      </c>
      <c r="L133" s="13">
        <v>2.4900000000000002</v>
      </c>
      <c r="M133" s="13">
        <v>0.27400000000000002</v>
      </c>
      <c r="N133" s="14">
        <v>0.84099999999999997</v>
      </c>
      <c r="O133" s="14">
        <v>0.27100000000000002</v>
      </c>
      <c r="P133" s="14">
        <v>0.19</v>
      </c>
      <c r="Q133" s="13">
        <v>94.4</v>
      </c>
    </row>
    <row r="134" spans="1:17">
      <c r="A134" s="13" t="s">
        <v>342</v>
      </c>
      <c r="B134" s="13">
        <v>2.63</v>
      </c>
      <c r="C134" s="13">
        <v>5.88</v>
      </c>
      <c r="D134" s="13">
        <v>5.01</v>
      </c>
      <c r="E134" s="13">
        <v>5.15</v>
      </c>
      <c r="F134" s="13">
        <v>0</v>
      </c>
      <c r="G134" s="13">
        <v>19266</v>
      </c>
      <c r="H134" s="13" t="s">
        <v>305</v>
      </c>
      <c r="I134" s="13">
        <v>24</v>
      </c>
      <c r="J134" s="13">
        <v>7.5</v>
      </c>
      <c r="K134" s="13">
        <v>3</v>
      </c>
      <c r="L134" s="13">
        <v>1.5</v>
      </c>
      <c r="M134" s="13">
        <v>0.23200000000000001</v>
      </c>
      <c r="N134" s="14">
        <v>0.86599999999999999</v>
      </c>
      <c r="O134" s="14">
        <v>0.32900000000000001</v>
      </c>
      <c r="P134" s="14">
        <v>0.125</v>
      </c>
      <c r="Q134" s="13">
        <v>93.2</v>
      </c>
    </row>
    <row r="135" spans="1:17">
      <c r="A135" s="13" t="s">
        <v>343</v>
      </c>
      <c r="B135" s="13">
        <v>2.2400000000000002</v>
      </c>
      <c r="C135" s="13">
        <v>2.89</v>
      </c>
      <c r="D135" s="13">
        <v>3.86</v>
      </c>
      <c r="E135" s="13">
        <v>3.54</v>
      </c>
      <c r="F135" s="13">
        <v>1.1000000000000001</v>
      </c>
      <c r="G135" s="13">
        <v>12703</v>
      </c>
      <c r="H135" s="13" t="s">
        <v>225</v>
      </c>
      <c r="I135" s="13">
        <v>76.099999999999994</v>
      </c>
      <c r="J135" s="13">
        <v>11.32</v>
      </c>
      <c r="K135" s="13">
        <v>2.71</v>
      </c>
      <c r="L135" s="13">
        <v>1.53</v>
      </c>
      <c r="M135" s="13">
        <v>0.17</v>
      </c>
      <c r="N135" s="14">
        <v>0.92100000000000004</v>
      </c>
      <c r="O135" s="14">
        <v>0.34499999999999997</v>
      </c>
      <c r="P135" s="14">
        <v>0.155</v>
      </c>
      <c r="Q135" s="13">
        <v>93.9</v>
      </c>
    </row>
    <row r="136" spans="1:17">
      <c r="A136" s="13" t="s">
        <v>344</v>
      </c>
      <c r="B136" s="13">
        <v>6.81</v>
      </c>
      <c r="C136" s="13">
        <v>4.68</v>
      </c>
      <c r="D136" s="13">
        <v>3.98</v>
      </c>
      <c r="E136" s="13">
        <v>3.97</v>
      </c>
      <c r="F136" s="13">
        <v>0.5</v>
      </c>
      <c r="G136" s="13">
        <v>6249</v>
      </c>
      <c r="H136" s="13" t="s">
        <v>288</v>
      </c>
      <c r="I136" s="13">
        <v>35.200000000000003</v>
      </c>
      <c r="J136" s="13">
        <v>7.32</v>
      </c>
      <c r="K136" s="13">
        <v>2.78</v>
      </c>
      <c r="L136" s="13">
        <v>1.01</v>
      </c>
      <c r="M136" s="13">
        <v>0.33300000000000002</v>
      </c>
      <c r="N136" s="14">
        <v>0.51700000000000002</v>
      </c>
      <c r="O136" s="14">
        <v>0.55700000000000005</v>
      </c>
      <c r="P136" s="14">
        <v>0.13300000000000001</v>
      </c>
      <c r="Q136" s="13">
        <v>91</v>
      </c>
    </row>
    <row r="137" spans="1:17">
      <c r="A137" s="13" t="s">
        <v>345</v>
      </c>
      <c r="B137" s="13">
        <v>1.87</v>
      </c>
      <c r="C137" s="13">
        <v>3.09</v>
      </c>
      <c r="D137" s="13">
        <v>2.48</v>
      </c>
      <c r="E137" s="13">
        <v>3.26</v>
      </c>
      <c r="F137" s="13">
        <v>1.9</v>
      </c>
      <c r="G137" s="13">
        <v>22286</v>
      </c>
      <c r="H137" s="13" t="s">
        <v>227</v>
      </c>
      <c r="I137" s="13">
        <v>62.2</v>
      </c>
      <c r="J137" s="13">
        <v>10.91</v>
      </c>
      <c r="K137" s="13">
        <v>3.16</v>
      </c>
      <c r="L137" s="13">
        <v>0.43</v>
      </c>
      <c r="M137" s="13">
        <v>0.30099999999999999</v>
      </c>
      <c r="N137" s="14">
        <v>0.83799999999999997</v>
      </c>
      <c r="O137" s="14">
        <v>0.42799999999999999</v>
      </c>
      <c r="P137" s="14">
        <v>5.8999999999999997E-2</v>
      </c>
      <c r="Q137" s="13">
        <v>94.6</v>
      </c>
    </row>
    <row r="138" spans="1:17">
      <c r="A138" s="13" t="s">
        <v>346</v>
      </c>
      <c r="B138" s="13">
        <v>5.36</v>
      </c>
      <c r="C138" s="13">
        <v>4.49</v>
      </c>
      <c r="D138" s="13">
        <v>4.78</v>
      </c>
      <c r="E138" s="13">
        <v>3.94</v>
      </c>
      <c r="F138" s="13">
        <v>0.2</v>
      </c>
      <c r="G138" s="13">
        <v>16977</v>
      </c>
      <c r="H138" s="13" t="s">
        <v>189</v>
      </c>
      <c r="I138" s="13">
        <v>43.2</v>
      </c>
      <c r="J138" s="13">
        <v>10.1</v>
      </c>
      <c r="K138" s="13">
        <v>4.12</v>
      </c>
      <c r="L138" s="13">
        <v>1.65</v>
      </c>
      <c r="M138" s="13">
        <v>0.35599999999999998</v>
      </c>
      <c r="N138" s="14">
        <v>0.75700000000000001</v>
      </c>
      <c r="O138" s="14">
        <v>0.47599999999999998</v>
      </c>
      <c r="P138" s="14">
        <v>0.20499999999999999</v>
      </c>
      <c r="Q138" s="13">
        <v>92.2</v>
      </c>
    </row>
    <row r="139" spans="1:17">
      <c r="A139" s="13" t="s">
        <v>347</v>
      </c>
      <c r="B139" s="13">
        <v>6.63</v>
      </c>
      <c r="C139" s="13"/>
      <c r="D139" s="13">
        <v>5.48</v>
      </c>
      <c r="E139" s="13">
        <v>4.83</v>
      </c>
      <c r="F139" s="13">
        <v>0</v>
      </c>
      <c r="G139" s="13">
        <v>18000</v>
      </c>
      <c r="H139" s="13" t="s">
        <v>181</v>
      </c>
      <c r="I139" s="13">
        <v>38</v>
      </c>
      <c r="J139" s="13">
        <v>12.79</v>
      </c>
      <c r="K139" s="13">
        <v>7.34</v>
      </c>
      <c r="L139" s="13">
        <v>1.89</v>
      </c>
      <c r="M139" s="13">
        <v>0.24299999999999999</v>
      </c>
      <c r="N139" s="14">
        <v>0.63300000000000001</v>
      </c>
      <c r="O139" s="14">
        <v>0.25900000000000001</v>
      </c>
      <c r="P139" s="14">
        <v>0.17399999999999999</v>
      </c>
      <c r="Q139" s="13">
        <v>91.6</v>
      </c>
    </row>
    <row r="140" spans="1:17">
      <c r="A140" s="13" t="s">
        <v>348</v>
      </c>
      <c r="B140" s="13">
        <v>4.63</v>
      </c>
      <c r="C140" s="13">
        <v>4.3099999999999996</v>
      </c>
      <c r="D140" s="13">
        <v>4.3899999999999997</v>
      </c>
      <c r="E140" s="13">
        <v>4.1399999999999997</v>
      </c>
      <c r="F140" s="13">
        <v>0.6</v>
      </c>
      <c r="G140" s="13">
        <v>12880</v>
      </c>
      <c r="H140" s="13" t="s">
        <v>288</v>
      </c>
      <c r="I140" s="13">
        <v>56.1</v>
      </c>
      <c r="J140" s="13">
        <v>8.7899999999999991</v>
      </c>
      <c r="K140" s="13">
        <v>2.72</v>
      </c>
      <c r="L140" s="13">
        <v>1.6</v>
      </c>
      <c r="M140" s="13">
        <v>0.26600000000000001</v>
      </c>
      <c r="N140" s="14">
        <v>0.68500000000000005</v>
      </c>
      <c r="O140" s="14">
        <v>0.39600000000000002</v>
      </c>
      <c r="P140" s="14">
        <v>0.14899999999999999</v>
      </c>
      <c r="Q140" s="13">
        <v>90.5</v>
      </c>
    </row>
    <row r="141" spans="1:17">
      <c r="A141" s="13" t="s">
        <v>349</v>
      </c>
      <c r="B141" s="13">
        <v>2.69</v>
      </c>
      <c r="C141" s="13">
        <v>2.76</v>
      </c>
      <c r="D141" s="13">
        <v>3.04</v>
      </c>
      <c r="E141" s="13">
        <v>2.84</v>
      </c>
      <c r="F141" s="13">
        <v>1.8</v>
      </c>
      <c r="G141" s="13">
        <v>14374</v>
      </c>
      <c r="H141" s="13" t="s">
        <v>286</v>
      </c>
      <c r="I141" s="13">
        <v>77</v>
      </c>
      <c r="J141" s="13">
        <v>12.39</v>
      </c>
      <c r="K141" s="13">
        <v>2.92</v>
      </c>
      <c r="L141" s="13">
        <v>1.17</v>
      </c>
      <c r="M141" s="13">
        <v>0.22900000000000001</v>
      </c>
      <c r="N141" s="14">
        <v>0.84199999999999997</v>
      </c>
      <c r="O141" s="14">
        <v>0.44900000000000001</v>
      </c>
      <c r="P141" s="14">
        <v>0.152</v>
      </c>
      <c r="Q141" s="13">
        <v>97.3</v>
      </c>
    </row>
    <row r="142" spans="1:17">
      <c r="A142" s="13" t="s">
        <v>350</v>
      </c>
      <c r="B142" s="13">
        <v>3.42</v>
      </c>
      <c r="C142" s="13">
        <v>3.32</v>
      </c>
      <c r="D142" s="13">
        <v>3.6</v>
      </c>
      <c r="E142" s="13">
        <v>3.61</v>
      </c>
      <c r="F142" s="13">
        <v>1.1000000000000001</v>
      </c>
      <c r="G142" s="13">
        <v>16358</v>
      </c>
      <c r="H142" s="13" t="s">
        <v>269</v>
      </c>
      <c r="I142" s="13">
        <v>55.1</v>
      </c>
      <c r="J142" s="13">
        <v>10.41</v>
      </c>
      <c r="K142" s="13">
        <v>3.09</v>
      </c>
      <c r="L142" s="13">
        <v>1.1399999999999999</v>
      </c>
      <c r="M142" s="13">
        <v>0.27900000000000003</v>
      </c>
      <c r="N142" s="14">
        <v>0.78300000000000003</v>
      </c>
      <c r="O142" s="14">
        <v>0.44700000000000001</v>
      </c>
      <c r="P142" s="14">
        <v>0.13200000000000001</v>
      </c>
      <c r="Q142" s="13">
        <v>94.7</v>
      </c>
    </row>
    <row r="143" spans="1:17">
      <c r="A143" s="13" t="s">
        <v>351</v>
      </c>
      <c r="B143" s="13">
        <v>3.67</v>
      </c>
      <c r="C143" s="13"/>
      <c r="D143" s="13">
        <v>5.93</v>
      </c>
      <c r="E143" s="13">
        <v>4.28</v>
      </c>
      <c r="F143" s="13">
        <v>-0.2</v>
      </c>
      <c r="G143" s="13">
        <v>11189</v>
      </c>
      <c r="H143" s="13" t="s">
        <v>183</v>
      </c>
      <c r="I143" s="13">
        <v>34.1</v>
      </c>
      <c r="J143" s="13">
        <v>9.44</v>
      </c>
      <c r="K143" s="13">
        <v>4.46</v>
      </c>
      <c r="L143" s="13">
        <v>2.36</v>
      </c>
      <c r="M143" s="13">
        <v>0.22</v>
      </c>
      <c r="N143" s="14">
        <v>0.95499999999999996</v>
      </c>
      <c r="O143" s="14">
        <v>0.41799999999999998</v>
      </c>
      <c r="P143" s="14">
        <v>0.25700000000000001</v>
      </c>
      <c r="Q143" s="13">
        <v>93.5</v>
      </c>
    </row>
    <row r="144" spans="1:17">
      <c r="A144" s="13" t="s">
        <v>352</v>
      </c>
      <c r="B144" s="13">
        <v>3.26</v>
      </c>
      <c r="C144" s="13">
        <v>3.78</v>
      </c>
      <c r="D144" s="13">
        <v>3.15</v>
      </c>
      <c r="E144" s="13">
        <v>3.41</v>
      </c>
      <c r="F144" s="13">
        <v>1.2</v>
      </c>
      <c r="G144" s="13">
        <v>8779</v>
      </c>
      <c r="H144" s="13" t="s">
        <v>269</v>
      </c>
      <c r="I144" s="13">
        <v>49.2</v>
      </c>
      <c r="J144" s="13">
        <v>7.25</v>
      </c>
      <c r="K144" s="13">
        <v>2.54</v>
      </c>
      <c r="L144" s="13">
        <v>0.54</v>
      </c>
      <c r="M144" s="13">
        <v>0.26200000000000001</v>
      </c>
      <c r="N144" s="14">
        <v>0.73399999999999999</v>
      </c>
      <c r="O144" s="14">
        <v>0.57999999999999996</v>
      </c>
      <c r="P144" s="14">
        <v>0.1</v>
      </c>
      <c r="Q144" s="13">
        <v>90.2</v>
      </c>
    </row>
    <row r="145" spans="1:17">
      <c r="A145" s="13" t="s">
        <v>353</v>
      </c>
      <c r="B145" s="13">
        <v>2.82</v>
      </c>
      <c r="C145" s="13">
        <v>3.73</v>
      </c>
      <c r="D145" s="13">
        <v>3.77</v>
      </c>
      <c r="E145" s="13">
        <v>3.51</v>
      </c>
      <c r="F145" s="13">
        <v>1</v>
      </c>
      <c r="G145" s="13">
        <v>19374</v>
      </c>
      <c r="H145" s="13" t="s">
        <v>225</v>
      </c>
      <c r="I145" s="13">
        <v>70.099999999999994</v>
      </c>
      <c r="J145" s="13">
        <v>8.9600000000000009</v>
      </c>
      <c r="K145" s="13">
        <v>1.66</v>
      </c>
      <c r="L145" s="13">
        <v>1.41</v>
      </c>
      <c r="M145" s="13">
        <v>0.24299999999999999</v>
      </c>
      <c r="N145" s="14">
        <v>0.85599999999999998</v>
      </c>
      <c r="O145" s="14">
        <v>0.41499999999999998</v>
      </c>
      <c r="P145" s="14">
        <v>0.153</v>
      </c>
      <c r="Q145" s="13">
        <v>95.5</v>
      </c>
    </row>
    <row r="146" spans="1:17">
      <c r="A146" s="13" t="s">
        <v>354</v>
      </c>
      <c r="B146" s="13">
        <v>7.12</v>
      </c>
      <c r="C146" s="13"/>
      <c r="D146" s="13">
        <v>6.1</v>
      </c>
      <c r="E146" s="13">
        <v>5.09</v>
      </c>
      <c r="F146" s="13">
        <v>-0.3</v>
      </c>
      <c r="G146" s="13">
        <v>19800</v>
      </c>
      <c r="H146" s="13" t="s">
        <v>288</v>
      </c>
      <c r="I146" s="13">
        <v>30.1</v>
      </c>
      <c r="J146" s="13">
        <v>7.71</v>
      </c>
      <c r="K146" s="13">
        <v>4.45</v>
      </c>
      <c r="L146" s="13">
        <v>2.08</v>
      </c>
      <c r="M146" s="13">
        <v>0.33300000000000002</v>
      </c>
      <c r="N146" s="14">
        <v>0.67900000000000005</v>
      </c>
      <c r="O146" s="14">
        <v>0.40200000000000002</v>
      </c>
      <c r="P146" s="14">
        <v>0.2</v>
      </c>
      <c r="Q146" s="13">
        <v>94.1</v>
      </c>
    </row>
    <row r="147" spans="1:17">
      <c r="A147" s="13" t="s">
        <v>355</v>
      </c>
      <c r="B147" s="13">
        <v>2.16</v>
      </c>
      <c r="C147" s="13">
        <v>2.69</v>
      </c>
      <c r="D147" s="13">
        <v>2.92</v>
      </c>
      <c r="E147" s="13">
        <v>3.83</v>
      </c>
      <c r="F147" s="13">
        <v>1.9</v>
      </c>
      <c r="G147" s="13">
        <v>13074</v>
      </c>
      <c r="H147" s="13" t="s">
        <v>201</v>
      </c>
      <c r="I147" s="13">
        <v>66.2</v>
      </c>
      <c r="J147" s="13">
        <v>10.67</v>
      </c>
      <c r="K147" s="13">
        <v>2.16</v>
      </c>
      <c r="L147" s="13">
        <v>0.81</v>
      </c>
      <c r="M147" s="13">
        <v>0.25600000000000001</v>
      </c>
      <c r="N147" s="14">
        <v>0.83899999999999997</v>
      </c>
      <c r="O147" s="14">
        <v>0.311</v>
      </c>
      <c r="P147" s="14">
        <v>7.4999999999999997E-2</v>
      </c>
      <c r="Q147" s="13">
        <v>94.9</v>
      </c>
    </row>
    <row r="148" spans="1:17">
      <c r="A148" s="13" t="s">
        <v>356</v>
      </c>
      <c r="B148" s="13">
        <v>3.88</v>
      </c>
      <c r="C148" s="13">
        <v>4.4000000000000004</v>
      </c>
      <c r="D148" s="13">
        <v>4.47</v>
      </c>
      <c r="E148" s="13">
        <v>3.52</v>
      </c>
      <c r="F148" s="13">
        <v>0.4</v>
      </c>
      <c r="G148" s="13">
        <v>20633</v>
      </c>
      <c r="H148" s="13" t="s">
        <v>222</v>
      </c>
      <c r="I148" s="13">
        <v>62.2</v>
      </c>
      <c r="J148" s="13">
        <v>8.76</v>
      </c>
      <c r="K148" s="13">
        <v>2.87</v>
      </c>
      <c r="L148" s="13">
        <v>1.58</v>
      </c>
      <c r="M148" s="13">
        <v>0.219</v>
      </c>
      <c r="N148" s="14">
        <v>0.77100000000000002</v>
      </c>
      <c r="O148" s="14">
        <v>0.50900000000000001</v>
      </c>
      <c r="P148" s="14">
        <v>0.22900000000000001</v>
      </c>
      <c r="Q148" s="13">
        <v>95.7</v>
      </c>
    </row>
    <row r="149" spans="1:17">
      <c r="A149" s="13" t="s">
        <v>357</v>
      </c>
      <c r="B149" s="13">
        <v>3.04</v>
      </c>
      <c r="C149" s="13">
        <v>3.35</v>
      </c>
      <c r="D149" s="13">
        <v>3.02</v>
      </c>
      <c r="E149" s="13">
        <v>4.22</v>
      </c>
      <c r="F149" s="13">
        <v>0.7</v>
      </c>
      <c r="G149" s="13">
        <v>19291</v>
      </c>
      <c r="H149" s="13" t="s">
        <v>305</v>
      </c>
      <c r="I149" s="13">
        <v>26.2</v>
      </c>
      <c r="J149" s="13">
        <v>10.8</v>
      </c>
      <c r="K149" s="13">
        <v>4.7300000000000004</v>
      </c>
      <c r="L149" s="13">
        <v>0.34</v>
      </c>
      <c r="M149" s="13">
        <v>0.25800000000000001</v>
      </c>
      <c r="N149" s="14">
        <v>0.73599999999999999</v>
      </c>
      <c r="O149" s="14">
        <v>0.439</v>
      </c>
      <c r="P149" s="14">
        <v>3.7999999999999999E-2</v>
      </c>
      <c r="Q149" s="13">
        <v>93.7</v>
      </c>
    </row>
    <row r="150" spans="1:17">
      <c r="A150" s="13" t="s">
        <v>358</v>
      </c>
      <c r="B150" s="13">
        <v>4.6500000000000004</v>
      </c>
      <c r="C150" s="13">
        <v>6.89</v>
      </c>
      <c r="D150" s="13">
        <v>4.8600000000000003</v>
      </c>
      <c r="E150" s="13">
        <v>5.58</v>
      </c>
      <c r="F150" s="13">
        <v>0.2</v>
      </c>
      <c r="G150" s="13">
        <v>13183</v>
      </c>
      <c r="H150" s="13" t="s">
        <v>189</v>
      </c>
      <c r="I150" s="13">
        <v>50.1</v>
      </c>
      <c r="J150" s="13">
        <v>5.19</v>
      </c>
      <c r="K150" s="13">
        <v>4.83</v>
      </c>
      <c r="L150" s="13">
        <v>0.72</v>
      </c>
      <c r="M150" s="13">
        <v>0.29899999999999999</v>
      </c>
      <c r="N150" s="14">
        <v>0.73</v>
      </c>
      <c r="O150" s="14">
        <v>0.45500000000000002</v>
      </c>
      <c r="P150" s="14">
        <v>7.8E-2</v>
      </c>
      <c r="Q150" s="13"/>
    </row>
    <row r="151" spans="1:17">
      <c r="A151" s="13" t="s">
        <v>359</v>
      </c>
      <c r="B151" s="13">
        <v>4.0999999999999996</v>
      </c>
      <c r="C151" s="13">
        <v>3.57</v>
      </c>
      <c r="D151" s="13">
        <v>3.21</v>
      </c>
      <c r="E151" s="13">
        <v>3.27</v>
      </c>
      <c r="F151" s="13">
        <v>1.7</v>
      </c>
      <c r="G151" s="13">
        <v>13774</v>
      </c>
      <c r="H151" s="13" t="s">
        <v>183</v>
      </c>
      <c r="I151" s="13">
        <v>68</v>
      </c>
      <c r="J151" s="13">
        <v>9</v>
      </c>
      <c r="K151" s="13">
        <v>1.06</v>
      </c>
      <c r="L151" s="13">
        <v>1.19</v>
      </c>
      <c r="M151" s="13">
        <v>0.33200000000000002</v>
      </c>
      <c r="N151" s="14">
        <v>0.71599999999999997</v>
      </c>
      <c r="O151" s="14">
        <v>0.40799999999999997</v>
      </c>
      <c r="P151" s="14">
        <v>0.129</v>
      </c>
      <c r="Q151" s="13">
        <v>93.4</v>
      </c>
    </row>
    <row r="152" spans="1:17">
      <c r="A152" s="13" t="s">
        <v>360</v>
      </c>
      <c r="B152" s="13">
        <v>4.1399999999999997</v>
      </c>
      <c r="C152" s="13">
        <v>3.67</v>
      </c>
      <c r="D152" s="13">
        <v>4.5</v>
      </c>
      <c r="E152" s="13">
        <v>4.33</v>
      </c>
      <c r="F152" s="13">
        <v>0.5</v>
      </c>
      <c r="G152" s="13">
        <v>19979</v>
      </c>
      <c r="H152" s="13" t="s">
        <v>181</v>
      </c>
      <c r="I152" s="13">
        <v>58.2</v>
      </c>
      <c r="J152" s="13">
        <v>5.83</v>
      </c>
      <c r="K152" s="13">
        <v>1.84</v>
      </c>
      <c r="L152" s="13">
        <v>1.38</v>
      </c>
      <c r="M152" s="13">
        <v>0.223</v>
      </c>
      <c r="N152" s="14">
        <v>0.66100000000000003</v>
      </c>
      <c r="O152" s="14">
        <v>0.52700000000000002</v>
      </c>
      <c r="P152" s="14">
        <v>0.14499999999999999</v>
      </c>
      <c r="Q152" s="13">
        <v>93.3</v>
      </c>
    </row>
    <row r="153" spans="1:17">
      <c r="A153" s="13" t="s">
        <v>361</v>
      </c>
      <c r="B153" s="13">
        <v>3.67</v>
      </c>
      <c r="C153" s="13">
        <v>3.55</v>
      </c>
      <c r="D153" s="13">
        <v>3.83</v>
      </c>
      <c r="E153" s="13">
        <v>4.0199999999999996</v>
      </c>
      <c r="F153" s="13">
        <v>1.1000000000000001</v>
      </c>
      <c r="G153" s="13">
        <v>1943</v>
      </c>
      <c r="H153" s="13" t="s">
        <v>233</v>
      </c>
      <c r="I153" s="13">
        <v>73.2</v>
      </c>
      <c r="J153" s="13">
        <v>6.96</v>
      </c>
      <c r="K153" s="13">
        <v>1.83</v>
      </c>
      <c r="L153" s="13">
        <v>1.1000000000000001</v>
      </c>
      <c r="M153" s="13">
        <v>0.27800000000000002</v>
      </c>
      <c r="N153" s="14">
        <v>0.75600000000000001</v>
      </c>
      <c r="O153" s="14">
        <v>0.41399999999999998</v>
      </c>
      <c r="P153" s="14">
        <v>0.11799999999999999</v>
      </c>
      <c r="Q153" s="13">
        <v>89</v>
      </c>
    </row>
    <row r="154" spans="1:17">
      <c r="A154" s="13" t="s">
        <v>362</v>
      </c>
      <c r="B154" s="13">
        <v>2.52</v>
      </c>
      <c r="C154" s="13">
        <v>2.59</v>
      </c>
      <c r="D154" s="13">
        <v>2.48</v>
      </c>
      <c r="E154" s="13">
        <v>2.75</v>
      </c>
      <c r="F154" s="13">
        <v>2.5</v>
      </c>
      <c r="G154" s="13">
        <v>10310</v>
      </c>
      <c r="H154" s="13" t="s">
        <v>183</v>
      </c>
      <c r="I154" s="13">
        <v>75</v>
      </c>
      <c r="J154" s="13">
        <v>11.04</v>
      </c>
      <c r="K154" s="13">
        <v>1.92</v>
      </c>
      <c r="L154" s="13">
        <v>0.72</v>
      </c>
      <c r="M154" s="13">
        <v>0.27700000000000002</v>
      </c>
      <c r="N154" s="14">
        <v>0.78900000000000003</v>
      </c>
      <c r="O154" s="14">
        <v>0.47099999999999997</v>
      </c>
      <c r="P154" s="14">
        <v>0.105</v>
      </c>
      <c r="Q154" s="13">
        <v>97.5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CE56-CFF2-4B14-8AEB-AD6F10A181CB}">
  <dimension ref="A1:O34"/>
  <sheetViews>
    <sheetView workbookViewId="0">
      <selection activeCell="A19" sqref="A19"/>
    </sheetView>
  </sheetViews>
  <sheetFormatPr defaultRowHeight="15"/>
  <cols>
    <col min="6" max="6" width="11.7109375" bestFit="1" customWidth="1"/>
  </cols>
  <sheetData>
    <row r="1" spans="1:15">
      <c r="A1" t="s">
        <v>363</v>
      </c>
      <c r="B1" s="9" t="s">
        <v>164</v>
      </c>
      <c r="C1" s="10" t="s">
        <v>165</v>
      </c>
      <c r="D1" s="10" t="s">
        <v>166</v>
      </c>
      <c r="E1" s="10" t="s">
        <v>167</v>
      </c>
      <c r="F1" t="s">
        <v>364</v>
      </c>
      <c r="G1" t="s">
        <v>365</v>
      </c>
      <c r="H1" t="s">
        <v>366</v>
      </c>
      <c r="J1" t="s">
        <v>367</v>
      </c>
      <c r="K1" t="s">
        <v>368</v>
      </c>
    </row>
    <row r="2" spans="1:15">
      <c r="A2" s="1" t="s">
        <v>280</v>
      </c>
      <c r="B2" s="1">
        <v>6</v>
      </c>
      <c r="C2" s="1">
        <v>4.78</v>
      </c>
      <c r="D2" s="1">
        <v>5.19</v>
      </c>
      <c r="E2" s="1">
        <v>3.91</v>
      </c>
      <c r="F2">
        <f>AVERAGE(B2:E2)</f>
        <v>4.9700000000000006</v>
      </c>
      <c r="G2">
        <f>F2*(6/9)</f>
        <v>3.3133333333333335</v>
      </c>
      <c r="H2">
        <f>(3/9)*C12</f>
        <v>3.583333333333333</v>
      </c>
      <c r="J2">
        <f>H2+G2</f>
        <v>6.8966666666666665</v>
      </c>
      <c r="K2">
        <f>J2/4.06</f>
        <v>1.6986863711001643</v>
      </c>
    </row>
    <row r="3" spans="1:15">
      <c r="A3" s="1" t="s">
        <v>316</v>
      </c>
      <c r="B3" s="1">
        <v>2.79</v>
      </c>
      <c r="C3" s="1">
        <v>4.41</v>
      </c>
      <c r="D3" s="1">
        <v>4.59</v>
      </c>
      <c r="E3" s="1">
        <v>3.92</v>
      </c>
      <c r="F3">
        <f>AVERAGE(B3,D3,E3)</f>
        <v>3.7666666666666671</v>
      </c>
      <c r="G3">
        <f>F3*(2/3)</f>
        <v>2.5111111111111111</v>
      </c>
      <c r="H3">
        <f>(1/3)*C28</f>
        <v>2.9266666666666663</v>
      </c>
      <c r="J3">
        <f>H3+G3</f>
        <v>5.4377777777777769</v>
      </c>
      <c r="K3">
        <f>J3/4.06</f>
        <v>1.3393541324575806</v>
      </c>
    </row>
    <row r="4" spans="1:15">
      <c r="A4" s="13" t="s">
        <v>170</v>
      </c>
      <c r="B4" s="13" t="s">
        <v>171</v>
      </c>
      <c r="C4" s="13" t="s">
        <v>172</v>
      </c>
      <c r="D4" s="13" t="s">
        <v>173</v>
      </c>
      <c r="E4" s="13" t="s">
        <v>174</v>
      </c>
      <c r="F4" s="13" t="s">
        <v>175</v>
      </c>
      <c r="G4" s="13" t="s">
        <v>176</v>
      </c>
      <c r="H4" s="13" t="s">
        <v>177</v>
      </c>
      <c r="I4" s="13" t="s">
        <v>178</v>
      </c>
      <c r="J4" s="13" t="s">
        <v>179</v>
      </c>
      <c r="K4" s="13" t="s">
        <v>164</v>
      </c>
      <c r="L4" s="13" t="s">
        <v>165</v>
      </c>
      <c r="M4" s="13" t="s">
        <v>166</v>
      </c>
      <c r="N4" s="13" t="s">
        <v>167</v>
      </c>
      <c r="O4" s="13" t="s">
        <v>168</v>
      </c>
    </row>
    <row r="5" spans="1:15">
      <c r="A5" s="13" t="s">
        <v>305</v>
      </c>
      <c r="B5" s="13">
        <v>210.1</v>
      </c>
      <c r="C5" s="13">
        <v>8.39</v>
      </c>
      <c r="D5" s="13">
        <v>3.42</v>
      </c>
      <c r="E5" s="13">
        <v>1.33</v>
      </c>
      <c r="F5" s="13">
        <v>0.32300000000000001</v>
      </c>
      <c r="G5" s="14">
        <v>0.69099999999999995</v>
      </c>
      <c r="H5" s="14">
        <v>0.41499999999999998</v>
      </c>
      <c r="I5" s="14">
        <v>0.13200000000000001</v>
      </c>
      <c r="J5" s="13">
        <v>92.5</v>
      </c>
      <c r="K5" s="13">
        <v>4.75</v>
      </c>
      <c r="L5" s="13"/>
      <c r="M5" s="13">
        <v>4.4400000000000004</v>
      </c>
      <c r="N5" s="13">
        <v>4.46</v>
      </c>
      <c r="O5" s="13">
        <v>-0.2</v>
      </c>
    </row>
    <row r="6" spans="1:15">
      <c r="A6" s="13" t="s">
        <v>210</v>
      </c>
      <c r="B6" s="13">
        <v>190.1</v>
      </c>
      <c r="C6" s="13">
        <v>9.65</v>
      </c>
      <c r="D6" s="13">
        <v>4.16</v>
      </c>
      <c r="E6" s="13">
        <v>1.23</v>
      </c>
      <c r="F6" s="13">
        <v>0.308</v>
      </c>
      <c r="G6" s="14">
        <v>0.67400000000000004</v>
      </c>
      <c r="H6" s="14">
        <v>0.39600000000000002</v>
      </c>
      <c r="I6" s="14">
        <v>0.126</v>
      </c>
      <c r="J6" s="13">
        <v>94.3</v>
      </c>
      <c r="K6" s="13">
        <v>4.82</v>
      </c>
      <c r="L6" s="13"/>
      <c r="M6" s="13">
        <v>4.3099999999999996</v>
      </c>
      <c r="N6" s="13">
        <v>4.41</v>
      </c>
      <c r="O6" s="13">
        <v>0.5</v>
      </c>
    </row>
    <row r="7" spans="1:15">
      <c r="A7" s="13" t="s">
        <v>208</v>
      </c>
      <c r="B7" s="13">
        <v>218</v>
      </c>
      <c r="C7" s="13">
        <v>9.8699999999999992</v>
      </c>
      <c r="D7" s="13">
        <v>4</v>
      </c>
      <c r="E7" s="13">
        <v>1.24</v>
      </c>
      <c r="F7" s="13">
        <v>0.28999999999999998</v>
      </c>
      <c r="G7" s="14">
        <v>0.71899999999999997</v>
      </c>
      <c r="H7" s="14">
        <v>0.42</v>
      </c>
      <c r="I7" s="14">
        <v>0.13500000000000001</v>
      </c>
      <c r="J7" s="13">
        <v>93.5</v>
      </c>
      <c r="K7" s="13">
        <v>4.46</v>
      </c>
      <c r="L7" s="13"/>
      <c r="M7" s="13">
        <v>4.2</v>
      </c>
      <c r="N7" s="13">
        <v>4.17</v>
      </c>
      <c r="O7" s="13">
        <v>1.6</v>
      </c>
    </row>
    <row r="8" spans="1:15">
      <c r="A8" s="13" t="s">
        <v>247</v>
      </c>
      <c r="B8" s="13">
        <v>187.1</v>
      </c>
      <c r="C8" s="13">
        <v>10.67</v>
      </c>
      <c r="D8" s="13">
        <v>4.2300000000000004</v>
      </c>
      <c r="E8" s="13">
        <v>0.82</v>
      </c>
      <c r="F8" s="13">
        <v>0.318</v>
      </c>
      <c r="G8" s="14">
        <v>0.73299999999999998</v>
      </c>
      <c r="H8" s="14">
        <v>0.46100000000000002</v>
      </c>
      <c r="I8" s="14">
        <v>0.11</v>
      </c>
      <c r="J8" s="13">
        <v>94.8</v>
      </c>
      <c r="K8" s="13">
        <v>3.7</v>
      </c>
      <c r="L8" s="13"/>
      <c r="M8" s="13">
        <v>3.59</v>
      </c>
      <c r="N8" s="13">
        <v>3.84</v>
      </c>
      <c r="O8" s="13">
        <v>2.1</v>
      </c>
    </row>
    <row r="9" spans="1:15">
      <c r="A9" s="13" t="s">
        <v>189</v>
      </c>
      <c r="B9" s="13">
        <v>214.2</v>
      </c>
      <c r="C9" s="13">
        <v>11.19</v>
      </c>
      <c r="D9" s="13">
        <v>4.4400000000000004</v>
      </c>
      <c r="E9" s="13">
        <v>0.67</v>
      </c>
      <c r="F9" s="13">
        <v>0.27300000000000002</v>
      </c>
      <c r="G9" s="14">
        <v>0.80100000000000005</v>
      </c>
      <c r="H9" s="14">
        <v>0.5</v>
      </c>
      <c r="I9" s="14">
        <v>0.10199999999999999</v>
      </c>
      <c r="J9" s="13">
        <v>93.8</v>
      </c>
      <c r="K9" s="13">
        <v>2.64</v>
      </c>
      <c r="L9" s="13"/>
      <c r="M9" s="13">
        <v>3.42</v>
      </c>
      <c r="N9" s="13">
        <v>3.71</v>
      </c>
      <c r="O9" s="13">
        <v>2.8</v>
      </c>
    </row>
    <row r="10" spans="1:15">
      <c r="A10" s="13" t="s">
        <v>213</v>
      </c>
      <c r="B10" s="13">
        <v>167.1</v>
      </c>
      <c r="C10" s="13">
        <v>10.7</v>
      </c>
      <c r="D10" s="13">
        <v>3.01</v>
      </c>
      <c r="E10" s="13">
        <v>1.02</v>
      </c>
      <c r="F10" s="13">
        <v>0.32</v>
      </c>
      <c r="G10" s="14">
        <v>0.745</v>
      </c>
      <c r="H10" s="14">
        <v>0.41099999999999998</v>
      </c>
      <c r="I10" s="14">
        <v>0.115</v>
      </c>
      <c r="J10" s="13">
        <v>95.6</v>
      </c>
      <c r="K10" s="13">
        <v>3.55</v>
      </c>
      <c r="L10" s="13"/>
      <c r="M10" s="13">
        <v>3.34</v>
      </c>
      <c r="N10" s="13">
        <v>3.57</v>
      </c>
      <c r="O10" s="13">
        <v>2.6</v>
      </c>
    </row>
    <row r="11" spans="1:15">
      <c r="A11" s="13" t="s">
        <v>269</v>
      </c>
      <c r="B11" s="13">
        <v>211.1</v>
      </c>
      <c r="C11" s="13">
        <v>10.18</v>
      </c>
      <c r="D11" s="13">
        <v>5.03</v>
      </c>
      <c r="E11" s="13">
        <v>1.49</v>
      </c>
      <c r="F11" s="13">
        <v>0.27600000000000002</v>
      </c>
      <c r="G11" s="14">
        <v>0.63500000000000001</v>
      </c>
      <c r="H11" s="14">
        <v>0.39400000000000002</v>
      </c>
      <c r="I11" s="14">
        <v>0.152</v>
      </c>
      <c r="J11" s="13">
        <v>94.3</v>
      </c>
      <c r="K11" s="13">
        <v>5.71</v>
      </c>
      <c r="L11" s="13"/>
      <c r="M11" s="13">
        <v>4.8899999999999997</v>
      </c>
      <c r="N11" s="13">
        <v>4.62</v>
      </c>
      <c r="O11" s="13">
        <v>-0.3</v>
      </c>
    </row>
    <row r="12" spans="1:15">
      <c r="A12" s="13" t="s">
        <v>181</v>
      </c>
      <c r="B12" s="13">
        <v>185</v>
      </c>
      <c r="C12" s="13">
        <v>10.75</v>
      </c>
      <c r="D12" s="13">
        <v>4.4800000000000004</v>
      </c>
      <c r="E12" s="13">
        <v>0.92</v>
      </c>
      <c r="F12" s="13">
        <v>0.26900000000000002</v>
      </c>
      <c r="G12" s="14">
        <v>0.80400000000000005</v>
      </c>
      <c r="H12" s="14">
        <v>0.46300000000000002</v>
      </c>
      <c r="I12" s="14">
        <v>0.127</v>
      </c>
      <c r="J12" s="13">
        <v>95.7</v>
      </c>
      <c r="K12" s="13">
        <v>2.92</v>
      </c>
      <c r="L12" s="13"/>
      <c r="M12" s="13">
        <v>3.7</v>
      </c>
      <c r="N12" s="13">
        <v>3.77</v>
      </c>
      <c r="O12" s="13">
        <v>1.7</v>
      </c>
    </row>
    <row r="13" spans="1:15">
      <c r="A13" s="13" t="s">
        <v>198</v>
      </c>
      <c r="B13" s="13">
        <v>180.2</v>
      </c>
      <c r="C13" s="13">
        <v>8.92</v>
      </c>
      <c r="D13" s="13">
        <v>4.43</v>
      </c>
      <c r="E13" s="13">
        <v>1.44</v>
      </c>
      <c r="F13" s="13">
        <v>0.31</v>
      </c>
      <c r="G13" s="14">
        <v>0.68200000000000005</v>
      </c>
      <c r="H13" s="14">
        <v>0.39400000000000002</v>
      </c>
      <c r="I13" s="14">
        <v>0.153</v>
      </c>
      <c r="J13" s="13">
        <v>95.3</v>
      </c>
      <c r="K13" s="13">
        <v>5.33</v>
      </c>
      <c r="L13" s="13"/>
      <c r="M13" s="13">
        <v>4.87</v>
      </c>
      <c r="N13" s="13">
        <v>4.5999999999999996</v>
      </c>
      <c r="O13" s="13">
        <v>-0.2</v>
      </c>
    </row>
    <row r="14" spans="1:15">
      <c r="A14" s="13" t="s">
        <v>215</v>
      </c>
      <c r="B14" s="13">
        <v>191</v>
      </c>
      <c r="C14" s="13">
        <v>10.130000000000001</v>
      </c>
      <c r="D14" s="13">
        <v>4.57</v>
      </c>
      <c r="E14" s="13">
        <v>1.55</v>
      </c>
      <c r="F14" s="13">
        <v>0.31</v>
      </c>
      <c r="G14" s="14">
        <v>0.68600000000000005</v>
      </c>
      <c r="H14" s="14">
        <v>0.42899999999999999</v>
      </c>
      <c r="I14" s="14">
        <v>0.17100000000000001</v>
      </c>
      <c r="J14" s="13">
        <v>94.3</v>
      </c>
      <c r="K14" s="13">
        <v>5.14</v>
      </c>
      <c r="L14" s="13"/>
      <c r="M14" s="13">
        <v>4.8099999999999996</v>
      </c>
      <c r="N14" s="13">
        <v>4.3099999999999996</v>
      </c>
      <c r="O14" s="13">
        <v>-0.1</v>
      </c>
    </row>
    <row r="15" spans="1:15">
      <c r="A15" s="13" t="s">
        <v>233</v>
      </c>
      <c r="B15" s="13">
        <v>194</v>
      </c>
      <c r="C15" s="13">
        <v>9.14</v>
      </c>
      <c r="D15" s="13">
        <v>4.04</v>
      </c>
      <c r="E15" s="13">
        <v>1.39</v>
      </c>
      <c r="F15" s="13">
        <v>0.28100000000000003</v>
      </c>
      <c r="G15" s="14">
        <v>0.68400000000000005</v>
      </c>
      <c r="H15" s="14">
        <v>0.436</v>
      </c>
      <c r="I15" s="14">
        <v>0.153</v>
      </c>
      <c r="J15" s="13">
        <v>94.7</v>
      </c>
      <c r="K15" s="13">
        <v>4.45</v>
      </c>
      <c r="L15" s="13"/>
      <c r="M15" s="13">
        <v>4.66</v>
      </c>
      <c r="N15" s="13">
        <v>4.3899999999999997</v>
      </c>
      <c r="O15" s="13">
        <v>-0.7</v>
      </c>
    </row>
    <row r="16" spans="1:15">
      <c r="A16" s="13" t="s">
        <v>203</v>
      </c>
      <c r="B16" s="13">
        <v>200.1</v>
      </c>
      <c r="C16" s="13">
        <v>9.7899999999999991</v>
      </c>
      <c r="D16" s="13">
        <v>5.12</v>
      </c>
      <c r="E16" s="13">
        <v>0.99</v>
      </c>
      <c r="F16" s="13">
        <v>0.27800000000000002</v>
      </c>
      <c r="G16" s="14">
        <v>0.75600000000000001</v>
      </c>
      <c r="H16" s="14">
        <v>0.432</v>
      </c>
      <c r="I16" s="14">
        <v>0.111</v>
      </c>
      <c r="J16" s="13">
        <v>94.7</v>
      </c>
      <c r="K16" s="13">
        <v>3.95</v>
      </c>
      <c r="L16" s="13"/>
      <c r="M16" s="13">
        <v>4.21</v>
      </c>
      <c r="N16" s="13">
        <v>4.49</v>
      </c>
      <c r="O16" s="13">
        <v>0.5</v>
      </c>
    </row>
    <row r="17" spans="1:15">
      <c r="A17" s="13" t="s">
        <v>193</v>
      </c>
      <c r="B17" s="13">
        <v>220.1</v>
      </c>
      <c r="C17" s="13">
        <v>9.0299999999999994</v>
      </c>
      <c r="D17" s="13">
        <v>4.17</v>
      </c>
      <c r="E17" s="13">
        <v>1.43</v>
      </c>
      <c r="F17" s="13">
        <v>0.29599999999999999</v>
      </c>
      <c r="G17" s="14">
        <v>0.7</v>
      </c>
      <c r="H17" s="14">
        <v>0.48599999999999999</v>
      </c>
      <c r="I17" s="14">
        <v>0.16500000000000001</v>
      </c>
      <c r="J17" s="13">
        <v>92</v>
      </c>
      <c r="K17" s="13">
        <v>4.9000000000000004</v>
      </c>
      <c r="L17" s="13"/>
      <c r="M17" s="13">
        <v>4.6900000000000004</v>
      </c>
      <c r="N17" s="13">
        <v>4.29</v>
      </c>
      <c r="O17" s="13">
        <v>-0.3</v>
      </c>
    </row>
    <row r="18" spans="1:15">
      <c r="A18" s="13" t="s">
        <v>225</v>
      </c>
      <c r="B18" s="13">
        <v>185.2</v>
      </c>
      <c r="C18" s="13">
        <v>9.7899999999999991</v>
      </c>
      <c r="D18" s="13">
        <v>4.2699999999999996</v>
      </c>
      <c r="E18" s="13">
        <v>0.92</v>
      </c>
      <c r="F18" s="13">
        <v>0.26800000000000002</v>
      </c>
      <c r="G18" s="14">
        <v>0.65800000000000003</v>
      </c>
      <c r="H18" s="14">
        <v>0.48399999999999999</v>
      </c>
      <c r="I18" s="14">
        <v>0.114</v>
      </c>
      <c r="J18" s="13">
        <v>94.4</v>
      </c>
      <c r="K18" s="13">
        <v>3.68</v>
      </c>
      <c r="L18" s="13"/>
      <c r="M18" s="13">
        <v>3.9</v>
      </c>
      <c r="N18" s="13">
        <v>4.12</v>
      </c>
      <c r="O18" s="13">
        <v>1.3</v>
      </c>
    </row>
    <row r="19" spans="1:15">
      <c r="A19" s="13" t="s">
        <v>227</v>
      </c>
      <c r="B19" s="13">
        <v>202</v>
      </c>
      <c r="C19" s="13">
        <v>8.82</v>
      </c>
      <c r="D19" s="13">
        <v>2.72</v>
      </c>
      <c r="E19" s="13">
        <v>0.76</v>
      </c>
      <c r="F19" s="13">
        <v>0.27800000000000002</v>
      </c>
      <c r="G19" s="14">
        <v>0.7</v>
      </c>
      <c r="H19" s="14">
        <v>0.436</v>
      </c>
      <c r="I19" s="14">
        <v>8.5999999999999993E-2</v>
      </c>
      <c r="J19" s="13">
        <v>93</v>
      </c>
      <c r="K19" s="13">
        <v>3.61</v>
      </c>
      <c r="L19" s="13"/>
      <c r="M19" s="13">
        <v>3.41</v>
      </c>
      <c r="N19" s="13">
        <v>4</v>
      </c>
      <c r="O19" s="13">
        <v>2.1</v>
      </c>
    </row>
    <row r="20" spans="1:15">
      <c r="A20" s="13" t="s">
        <v>191</v>
      </c>
      <c r="B20" s="13">
        <v>203.2</v>
      </c>
      <c r="C20" s="13">
        <v>10.38</v>
      </c>
      <c r="D20" s="13">
        <v>4.29</v>
      </c>
      <c r="E20" s="13">
        <v>1.46</v>
      </c>
      <c r="F20" s="13">
        <v>0.28100000000000003</v>
      </c>
      <c r="G20" s="14">
        <v>0.73099999999999998</v>
      </c>
      <c r="H20" s="14">
        <v>0.41199999999999998</v>
      </c>
      <c r="I20" s="14">
        <v>0.16300000000000001</v>
      </c>
      <c r="J20" s="13">
        <v>93.2</v>
      </c>
      <c r="K20" s="13">
        <v>4.51</v>
      </c>
      <c r="L20" s="13"/>
      <c r="M20" s="13">
        <v>4.58</v>
      </c>
      <c r="N20" s="13">
        <v>4.2</v>
      </c>
      <c r="O20" s="13">
        <v>0.4</v>
      </c>
    </row>
    <row r="21" spans="1:15">
      <c r="A21" s="13" t="s">
        <v>261</v>
      </c>
      <c r="B21" s="13">
        <v>192.1</v>
      </c>
      <c r="C21" s="13">
        <v>9.92</v>
      </c>
      <c r="D21" s="13">
        <v>4.07</v>
      </c>
      <c r="E21" s="13">
        <v>1.59</v>
      </c>
      <c r="F21" s="13">
        <v>0.30599999999999999</v>
      </c>
      <c r="G21" s="14">
        <v>0.68799999999999994</v>
      </c>
      <c r="H21" s="14">
        <v>0.40100000000000002</v>
      </c>
      <c r="I21" s="14">
        <v>0.17100000000000001</v>
      </c>
      <c r="J21" s="13">
        <v>93.1</v>
      </c>
      <c r="K21" s="13">
        <v>4.7699999999999996</v>
      </c>
      <c r="L21" s="13"/>
      <c r="M21" s="13">
        <v>4.74</v>
      </c>
      <c r="N21" s="13">
        <v>4.2300000000000004</v>
      </c>
      <c r="O21" s="13">
        <v>-0.5</v>
      </c>
    </row>
    <row r="22" spans="1:15">
      <c r="A22" s="13" t="s">
        <v>239</v>
      </c>
      <c r="B22" s="13">
        <v>174</v>
      </c>
      <c r="C22" s="13">
        <v>10.09</v>
      </c>
      <c r="D22" s="13">
        <v>3.41</v>
      </c>
      <c r="E22" s="13">
        <v>0.62</v>
      </c>
      <c r="F22" s="13">
        <v>0.31900000000000001</v>
      </c>
      <c r="G22" s="14">
        <v>0.71599999999999997</v>
      </c>
      <c r="H22" s="14">
        <v>0.45800000000000002</v>
      </c>
      <c r="I22" s="14">
        <v>8.5000000000000006E-2</v>
      </c>
      <c r="J22" s="13">
        <v>95.5</v>
      </c>
      <c r="K22" s="13">
        <v>3.47</v>
      </c>
      <c r="L22" s="13"/>
      <c r="M22" s="13">
        <v>3.13</v>
      </c>
      <c r="N22" s="13">
        <v>3.65</v>
      </c>
      <c r="O22" s="13">
        <v>3</v>
      </c>
    </row>
    <row r="23" spans="1:15">
      <c r="A23" s="13" t="s">
        <v>231</v>
      </c>
      <c r="B23" s="13">
        <v>200.1</v>
      </c>
      <c r="C23" s="13">
        <v>9.84</v>
      </c>
      <c r="D23" s="13">
        <v>3.46</v>
      </c>
      <c r="E23" s="13">
        <v>0.99</v>
      </c>
      <c r="F23" s="13">
        <v>0.23499999999999999</v>
      </c>
      <c r="G23" s="14">
        <v>0.76400000000000001</v>
      </c>
      <c r="H23" s="14">
        <v>0.46500000000000002</v>
      </c>
      <c r="I23" s="14">
        <v>0.127</v>
      </c>
      <c r="J23" s="13">
        <v>93.9</v>
      </c>
      <c r="K23" s="13">
        <v>2.7</v>
      </c>
      <c r="L23" s="13"/>
      <c r="M23" s="13">
        <v>3.62</v>
      </c>
      <c r="N23" s="13">
        <v>3.68</v>
      </c>
      <c r="O23" s="13">
        <v>2.5</v>
      </c>
    </row>
    <row r="24" spans="1:15">
      <c r="A24" s="13" t="s">
        <v>220</v>
      </c>
      <c r="B24" s="13">
        <v>189.1</v>
      </c>
      <c r="C24" s="13">
        <v>8.18</v>
      </c>
      <c r="D24" s="13">
        <v>3.47</v>
      </c>
      <c r="E24" s="13">
        <v>0.71</v>
      </c>
      <c r="F24" s="13">
        <v>0.28299999999999997</v>
      </c>
      <c r="G24" s="14">
        <v>0.67600000000000005</v>
      </c>
      <c r="H24" s="14">
        <v>0.378</v>
      </c>
      <c r="I24" s="14">
        <v>7.0999999999999994E-2</v>
      </c>
      <c r="J24" s="13">
        <v>92.9</v>
      </c>
      <c r="K24" s="13">
        <v>3.85</v>
      </c>
      <c r="L24" s="13"/>
      <c r="M24" s="13">
        <v>3.58</v>
      </c>
      <c r="N24" s="13">
        <v>4.4800000000000004</v>
      </c>
      <c r="O24" s="13">
        <v>1.7</v>
      </c>
    </row>
    <row r="25" spans="1:15">
      <c r="A25" s="13" t="s">
        <v>183</v>
      </c>
      <c r="B25" s="13">
        <v>179</v>
      </c>
      <c r="C25" s="13">
        <v>9.1</v>
      </c>
      <c r="D25" s="13">
        <v>3.87</v>
      </c>
      <c r="E25" s="13">
        <v>1.31</v>
      </c>
      <c r="F25" s="13">
        <v>0.30199999999999999</v>
      </c>
      <c r="G25" s="14">
        <v>0.7</v>
      </c>
      <c r="H25" s="14">
        <v>0.50600000000000001</v>
      </c>
      <c r="I25" s="14">
        <v>0.16900000000000001</v>
      </c>
      <c r="J25" s="13">
        <v>94.4</v>
      </c>
      <c r="K25" s="13">
        <v>4.68</v>
      </c>
      <c r="L25" s="13"/>
      <c r="M25" s="13">
        <v>4.53</v>
      </c>
      <c r="N25" s="13">
        <v>4.12</v>
      </c>
      <c r="O25" s="13">
        <v>-0.2</v>
      </c>
    </row>
    <row r="26" spans="1:15">
      <c r="A26" s="13" t="s">
        <v>288</v>
      </c>
      <c r="B26" s="13">
        <v>204.2</v>
      </c>
      <c r="C26" s="13">
        <v>9.23</v>
      </c>
      <c r="D26" s="13">
        <v>3.78</v>
      </c>
      <c r="E26" s="13">
        <v>1.01</v>
      </c>
      <c r="F26" s="13">
        <v>0.27900000000000003</v>
      </c>
      <c r="G26" s="14">
        <v>0.70299999999999996</v>
      </c>
      <c r="H26" s="14">
        <v>0.41499999999999998</v>
      </c>
      <c r="I26" s="14">
        <v>0.115</v>
      </c>
      <c r="J26" s="13">
        <v>93.9</v>
      </c>
      <c r="K26" s="13">
        <v>4.05</v>
      </c>
      <c r="L26" s="13"/>
      <c r="M26" s="13">
        <v>3.94</v>
      </c>
      <c r="N26" s="13">
        <v>4.16</v>
      </c>
      <c r="O26" s="13">
        <v>1.5</v>
      </c>
    </row>
    <row r="27" spans="1:15">
      <c r="A27" s="13" t="s">
        <v>201</v>
      </c>
      <c r="B27" s="13">
        <v>248.1</v>
      </c>
      <c r="C27" s="13">
        <v>10.26</v>
      </c>
      <c r="D27" s="13">
        <v>3.3</v>
      </c>
      <c r="E27" s="13">
        <v>1.01</v>
      </c>
      <c r="F27" s="13">
        <v>0.25600000000000001</v>
      </c>
      <c r="G27" s="14">
        <v>0.80200000000000005</v>
      </c>
      <c r="H27" s="14">
        <v>0.46500000000000002</v>
      </c>
      <c r="I27" s="14">
        <v>0.13700000000000001</v>
      </c>
      <c r="J27" s="13">
        <v>94.2</v>
      </c>
      <c r="K27" s="13">
        <v>2.46</v>
      </c>
      <c r="L27" s="13"/>
      <c r="M27" s="13">
        <v>3.65</v>
      </c>
      <c r="N27" s="13">
        <v>3.6</v>
      </c>
      <c r="O27" s="13">
        <v>2</v>
      </c>
    </row>
    <row r="28" spans="1:15">
      <c r="A28" s="13" t="s">
        <v>222</v>
      </c>
      <c r="B28" s="13">
        <v>214.1</v>
      </c>
      <c r="C28" s="13">
        <v>8.7799999999999994</v>
      </c>
      <c r="D28" s="13">
        <v>3.32</v>
      </c>
      <c r="E28" s="13">
        <v>0.8</v>
      </c>
      <c r="F28" s="13">
        <v>0.29099999999999998</v>
      </c>
      <c r="G28" s="14">
        <v>0.68600000000000005</v>
      </c>
      <c r="H28" s="14">
        <v>0.45400000000000001</v>
      </c>
      <c r="I28" s="14">
        <v>9.4E-2</v>
      </c>
      <c r="J28" s="13">
        <v>93.6</v>
      </c>
      <c r="K28" s="13">
        <v>4.16</v>
      </c>
      <c r="L28" s="13"/>
      <c r="M28" s="13">
        <v>3.65</v>
      </c>
      <c r="N28" s="13">
        <v>4.13</v>
      </c>
      <c r="O28" s="13">
        <v>2.1</v>
      </c>
    </row>
    <row r="29" spans="1:15">
      <c r="A29" s="13" t="s">
        <v>185</v>
      </c>
      <c r="B29" s="13">
        <v>180.1</v>
      </c>
      <c r="C29" s="13">
        <v>8.68</v>
      </c>
      <c r="D29" s="13">
        <v>3.34</v>
      </c>
      <c r="E29" s="13">
        <v>1.5</v>
      </c>
      <c r="F29" s="13">
        <v>0.26200000000000001</v>
      </c>
      <c r="G29" s="14">
        <v>0.72799999999999998</v>
      </c>
      <c r="H29" s="14">
        <v>0.432</v>
      </c>
      <c r="I29" s="14">
        <v>0.14599999999999999</v>
      </c>
      <c r="J29" s="13">
        <v>93.1</v>
      </c>
      <c r="K29" s="13">
        <v>3.94</v>
      </c>
      <c r="L29" s="13"/>
      <c r="M29" s="13">
        <v>4.63</v>
      </c>
      <c r="N29" s="13">
        <v>4.43</v>
      </c>
      <c r="O29" s="13">
        <v>-1</v>
      </c>
    </row>
    <row r="30" spans="1:15">
      <c r="A30" s="13" t="s">
        <v>187</v>
      </c>
      <c r="B30" s="13">
        <v>201</v>
      </c>
      <c r="C30" s="13">
        <v>9.27</v>
      </c>
      <c r="D30" s="13">
        <v>5.87</v>
      </c>
      <c r="E30" s="13">
        <v>0.49</v>
      </c>
      <c r="F30" s="13">
        <v>0.28000000000000003</v>
      </c>
      <c r="G30" s="14">
        <v>0.69099999999999995</v>
      </c>
      <c r="H30" s="14">
        <v>0.40799999999999997</v>
      </c>
      <c r="I30" s="14">
        <v>5.5E-2</v>
      </c>
      <c r="J30" s="13">
        <v>94.5</v>
      </c>
      <c r="K30" s="13">
        <v>4.43</v>
      </c>
      <c r="L30" s="13"/>
      <c r="M30" s="13">
        <v>3.97</v>
      </c>
      <c r="N30" s="13">
        <v>4.96</v>
      </c>
      <c r="O30" s="13">
        <v>1.3</v>
      </c>
    </row>
    <row r="31" spans="1:15">
      <c r="A31" s="13" t="s">
        <v>286</v>
      </c>
      <c r="B31" s="13">
        <v>247.1</v>
      </c>
      <c r="C31" s="13">
        <v>8.8800000000000008</v>
      </c>
      <c r="D31" s="13">
        <v>3.06</v>
      </c>
      <c r="E31" s="13">
        <v>1.06</v>
      </c>
      <c r="F31" s="13">
        <v>0.28599999999999998</v>
      </c>
      <c r="G31" s="14">
        <v>0.755</v>
      </c>
      <c r="H31" s="14">
        <v>0.42099999999999999</v>
      </c>
      <c r="I31" s="14">
        <v>0.11600000000000001</v>
      </c>
      <c r="J31" s="13">
        <v>93.8</v>
      </c>
      <c r="K31" s="13">
        <v>3.42</v>
      </c>
      <c r="L31" s="13"/>
      <c r="M31" s="13">
        <v>3.85</v>
      </c>
      <c r="N31" s="13">
        <v>4.08</v>
      </c>
      <c r="O31" s="13">
        <v>1.1000000000000001</v>
      </c>
    </row>
    <row r="32" spans="1:15">
      <c r="A32" s="13" t="s">
        <v>236</v>
      </c>
      <c r="B32" s="13">
        <v>217.1</v>
      </c>
      <c r="C32" s="13">
        <v>9.36</v>
      </c>
      <c r="D32" s="13">
        <v>3.23</v>
      </c>
      <c r="E32" s="13">
        <v>1.08</v>
      </c>
      <c r="F32" s="13">
        <v>0.313</v>
      </c>
      <c r="G32" s="14">
        <v>0.72399999999999998</v>
      </c>
      <c r="H32" s="14">
        <v>0.47099999999999997</v>
      </c>
      <c r="I32" s="14">
        <v>0.13400000000000001</v>
      </c>
      <c r="J32" s="13">
        <v>94.3</v>
      </c>
      <c r="K32" s="13">
        <v>4.0999999999999996</v>
      </c>
      <c r="L32" s="13"/>
      <c r="M32" s="13">
        <v>3.82</v>
      </c>
      <c r="N32" s="13">
        <v>3.81</v>
      </c>
      <c r="O32" s="13">
        <v>0.9</v>
      </c>
    </row>
    <row r="33" spans="1:15">
      <c r="A33" s="13" t="s">
        <v>258</v>
      </c>
      <c r="B33" s="13">
        <v>213.2</v>
      </c>
      <c r="C33" s="13">
        <v>9.48</v>
      </c>
      <c r="D33" s="13">
        <v>4.25</v>
      </c>
      <c r="E33" s="13">
        <v>0.93</v>
      </c>
      <c r="F33" s="13">
        <v>0.26900000000000002</v>
      </c>
      <c r="G33" s="14">
        <v>0.73899999999999999</v>
      </c>
      <c r="H33" s="14">
        <v>0.45500000000000002</v>
      </c>
      <c r="I33" s="14">
        <v>0.109</v>
      </c>
      <c r="J33" s="13">
        <v>93.7</v>
      </c>
      <c r="K33" s="13">
        <v>3.45</v>
      </c>
      <c r="L33" s="13"/>
      <c r="M33" s="13">
        <v>3.98</v>
      </c>
      <c r="N33" s="13">
        <v>4.28</v>
      </c>
      <c r="O33" s="13">
        <v>0.9</v>
      </c>
    </row>
    <row r="34" spans="1:15">
      <c r="A34" s="13" t="s">
        <v>249</v>
      </c>
      <c r="B34" s="13">
        <v>178.1</v>
      </c>
      <c r="C34" s="13">
        <v>9.24</v>
      </c>
      <c r="D34" s="13">
        <v>3.89</v>
      </c>
      <c r="E34" s="13">
        <v>1.1100000000000001</v>
      </c>
      <c r="F34" s="13">
        <v>0.27</v>
      </c>
      <c r="G34" s="14">
        <v>0.73699999999999999</v>
      </c>
      <c r="H34" s="14">
        <v>0.41</v>
      </c>
      <c r="I34" s="14">
        <v>0.121</v>
      </c>
      <c r="J34" s="13">
        <v>94.5</v>
      </c>
      <c r="K34" s="13">
        <v>3.99</v>
      </c>
      <c r="L34" s="13"/>
      <c r="M34" s="13">
        <v>4.0999999999999996</v>
      </c>
      <c r="N34" s="13">
        <v>4.26</v>
      </c>
      <c r="O34" s="13">
        <v>0.7</v>
      </c>
    </row>
  </sheetData>
  <hyperlinks>
    <hyperlink ref="B1" r:id="rId1" xr:uid="{499F0557-8CD0-4E9E-A25C-A23740790871}"/>
    <hyperlink ref="C1" r:id="rId2" xr:uid="{C3A05DB0-82AC-4CCE-BF88-52B3584378BA}"/>
    <hyperlink ref="D1" r:id="rId3" xr:uid="{53D0D48B-43C5-43BC-9F68-7A5432D8F2EC}"/>
    <hyperlink ref="E1" r:id="rId4" xr:uid="{AE871C8E-A770-41BE-9BEF-68B1149F93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Ryan, Liam</cp:lastModifiedBy>
  <cp:revision/>
  <dcterms:created xsi:type="dcterms:W3CDTF">2021-05-26T11:43:08Z</dcterms:created>
  <dcterms:modified xsi:type="dcterms:W3CDTF">2021-06-08T13:50:06Z</dcterms:modified>
  <cp:category/>
  <cp:contentStatus/>
</cp:coreProperties>
</file>